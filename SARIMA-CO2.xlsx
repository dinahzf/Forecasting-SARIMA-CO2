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-ratio_real" sheetId="1" r:id="rId4"/>
    <sheet state="visible" name="manual (4,1,0)(0,1,1)" sheetId="2" r:id="rId5"/>
    <sheet state="visible" name="manual (4,1,0)(0,1,3)" sheetId="3" r:id="rId6"/>
  </sheets>
  <definedNames/>
  <calcPr/>
  <extLst>
    <ext uri="GoogleSheetsCustomDataVersion2">
      <go:sheetsCustomData xmlns:go="http://customooxmlschemas.google.com/" r:id="rId7" roundtripDataChecksum="+TUuwFxWUtCh05oO5Onvo9+4US7TK8sHc6RZfQYW17Y="/>
    </ext>
  </extLst>
</workbook>
</file>

<file path=xl/sharedStrings.xml><?xml version="1.0" encoding="utf-8"?>
<sst xmlns="http://schemas.openxmlformats.org/spreadsheetml/2006/main" count="59" uniqueCount="31">
  <si>
    <t>DIFFS1</t>
  </si>
  <si>
    <t>W bar</t>
  </si>
  <si>
    <t>(Wt-W bar)^2</t>
  </si>
  <si>
    <t>Varians</t>
  </si>
  <si>
    <t>SW</t>
  </si>
  <si>
    <t>t-ratio</t>
  </si>
  <si>
    <t>phi1</t>
  </si>
  <si>
    <t>Training</t>
  </si>
  <si>
    <t>Testing</t>
  </si>
  <si>
    <t>phi2</t>
  </si>
  <si>
    <t>MAPE (%)</t>
  </si>
  <si>
    <t>phi3</t>
  </si>
  <si>
    <t>RMSE</t>
  </si>
  <si>
    <t>MSE</t>
  </si>
  <si>
    <t>phi4</t>
  </si>
  <si>
    <t>MAD</t>
  </si>
  <si>
    <t>THETA1</t>
  </si>
  <si>
    <t>SSE</t>
  </si>
  <si>
    <t>AIC</t>
  </si>
  <si>
    <t>Tanggal</t>
  </si>
  <si>
    <t>t</t>
  </si>
  <si>
    <t>Konsentrasi CO2 (ppm)</t>
  </si>
  <si>
    <t>Residuals (e)</t>
  </si>
  <si>
    <t>Forecast</t>
  </si>
  <si>
    <t>abs e</t>
  </si>
  <si>
    <t>e^2</t>
  </si>
  <si>
    <t>e/Yt</t>
  </si>
  <si>
    <t>abs e/Yt</t>
  </si>
  <si>
    <t>THETA2</t>
  </si>
  <si>
    <t>THETA3</t>
  </si>
  <si>
    <t>Peramalan t=169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</si>
</sst>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0"/>
    <numFmt numFmtId="165" formatCode="#,##0.0000"/>
    <numFmt numFmtId="166" formatCode="0.00000"/>
    <numFmt numFmtId="167" formatCode="mm/yyyy"/>
    <numFmt numFmtId="168" formatCode="0.000000"/>
    <numFmt numFmtId="169" formatCode="#,##0.000000"/>
    <numFmt numFmtId="170" formatCode="#,##0.00000"/>
    <numFmt numFmtId="171" formatCode="m/yyyy"/>
  </numFmts>
  <fonts count="6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/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/>
    </xf>
    <xf borderId="0" fillId="3" fontId="1" numFmtId="164" xfId="0" applyAlignment="1" applyFill="1" applyFont="1" applyNumberFormat="1">
      <alignment horizontal="center"/>
    </xf>
    <xf borderId="0" fillId="0" fontId="2" numFmtId="0" xfId="0" applyFont="1"/>
    <xf borderId="0" fillId="2" fontId="2" numFmtId="164" xfId="0" applyFont="1" applyNumberFormat="1"/>
    <xf borderId="0" fillId="3" fontId="2" numFmtId="164" xfId="0" applyFont="1" applyNumberFormat="1"/>
    <xf borderId="0" fillId="0" fontId="2" numFmtId="164" xfId="0" applyFont="1" applyNumberFormat="1"/>
    <xf borderId="0" fillId="4" fontId="3" numFmtId="0" xfId="0" applyAlignment="1" applyFill="1" applyFont="1">
      <alignment horizontal="center" readingOrder="0" shrinkToFit="0" wrapText="0"/>
    </xf>
    <xf borderId="0" fillId="4" fontId="3" numFmtId="165" xfId="0" applyAlignment="1" applyFont="1" applyNumberForma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1" fillId="3" fontId="1" numFmtId="0" xfId="0" applyAlignment="1" applyBorder="1" applyFont="1">
      <alignment horizontal="center" readingOrder="0"/>
    </xf>
    <xf borderId="2" fillId="0" fontId="5" numFmtId="0" xfId="0" applyBorder="1" applyFont="1"/>
    <xf borderId="3" fillId="3" fontId="2" numFmtId="0" xfId="0" applyAlignment="1" applyBorder="1" applyFont="1">
      <alignment readingOrder="0"/>
    </xf>
    <xf borderId="3" fillId="3" fontId="2" numFmtId="166" xfId="0" applyBorder="1" applyFont="1" applyNumberFormat="1"/>
    <xf borderId="2" fillId="0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center" readingOrder="0"/>
    </xf>
    <xf borderId="0" fillId="5" fontId="2" numFmtId="167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5" fontId="3" numFmtId="4" xfId="0" applyAlignment="1" applyFont="1" applyNumberFormat="1">
      <alignment horizontal="right" readingOrder="0" shrinkToFit="0" vertical="bottom" wrapText="0"/>
    </xf>
    <xf borderId="0" fillId="5" fontId="3" numFmtId="0" xfId="0" applyAlignment="1" applyFont="1">
      <alignment shrinkToFit="0" vertical="bottom" wrapText="0"/>
    </xf>
    <xf borderId="0" fillId="5" fontId="3" numFmtId="0" xfId="0" applyAlignment="1" applyFont="1">
      <alignment readingOrder="0" shrinkToFit="0" vertical="bottom" wrapText="0"/>
    </xf>
    <xf borderId="0" fillId="5" fontId="2" numFmtId="168" xfId="0" applyFont="1" applyNumberFormat="1"/>
    <xf borderId="0" fillId="5" fontId="2" numFmtId="2" xfId="0" applyAlignment="1" applyFont="1" applyNumberFormat="1">
      <alignment readingOrder="0"/>
    </xf>
    <xf borderId="0" fillId="5" fontId="3" numFmtId="169" xfId="0" applyAlignment="1" applyFont="1" applyNumberFormat="1">
      <alignment readingOrder="0" shrinkToFit="0" wrapText="0"/>
    </xf>
    <xf borderId="0" fillId="5" fontId="3" numFmtId="170" xfId="0" applyAlignment="1" applyFont="1" applyNumberFormat="1">
      <alignment horizontal="right" readingOrder="0" vertical="bottom"/>
    </xf>
    <xf borderId="0" fillId="2" fontId="2" numFmtId="167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horizontal="right" readingOrder="0" shrinkToFit="0" vertical="bottom" wrapText="0"/>
    </xf>
    <xf borderId="0" fillId="2" fontId="3" numFmtId="169" xfId="0" applyAlignment="1" applyFont="1" applyNumberFormat="1">
      <alignment readingOrder="0" shrinkToFit="0" wrapText="0"/>
    </xf>
    <xf borderId="0" fillId="2" fontId="3" numFmtId="170" xfId="0" applyAlignment="1" applyFont="1" applyNumberFormat="1">
      <alignment horizontal="right" readingOrder="0" vertical="bottom"/>
    </xf>
    <xf borderId="0" fillId="2" fontId="2" numFmtId="168" xfId="0" applyFont="1" applyNumberFormat="1"/>
    <xf borderId="0" fillId="6" fontId="3" numFmtId="0" xfId="0" applyFill="1" applyFont="1"/>
    <xf borderId="3" fillId="3" fontId="2" numFmtId="166" xfId="0" applyAlignment="1" applyBorder="1" applyFont="1" applyNumberFormat="1">
      <alignment readingOrder="0"/>
    </xf>
    <xf borderId="0" fillId="5" fontId="3" numFmtId="164" xfId="0" applyAlignment="1" applyFont="1" applyNumberFormat="1">
      <alignment shrinkToFit="0" vertical="bottom" wrapText="0"/>
    </xf>
    <xf borderId="0" fillId="5" fontId="2" numFmtId="2" xfId="0" applyAlignment="1" applyFont="1" applyNumberFormat="1">
      <alignment horizontal="right" vertical="bottom"/>
    </xf>
    <xf borderId="0" fillId="5" fontId="3" numFmtId="164" xfId="0" applyAlignment="1" applyFont="1" applyNumberFormat="1">
      <alignment horizontal="right" readingOrder="0" shrinkToFit="0" vertical="bottom" wrapText="0"/>
    </xf>
    <xf borderId="0" fillId="5" fontId="3" numFmtId="166" xfId="0" applyAlignment="1" applyFont="1" applyNumberFormat="1">
      <alignment horizontal="right" readingOrder="0" shrinkToFit="0" vertical="bottom" wrapText="0"/>
    </xf>
    <xf borderId="0" fillId="5" fontId="3" numFmtId="170" xfId="0" applyAlignment="1" applyFont="1" applyNumberFormat="1">
      <alignment shrinkToFit="0" vertical="bottom" wrapText="0"/>
    </xf>
    <xf borderId="0" fillId="5" fontId="2" numFmtId="166" xfId="0" applyFont="1" applyNumberFormat="1"/>
    <xf borderId="0" fillId="2" fontId="3" numFmtId="4" xfId="0" applyAlignment="1" applyFont="1" applyNumberFormat="1">
      <alignment horizontal="right" readingOrder="0" shrinkToFit="0" vertical="bottom" wrapText="0"/>
    </xf>
    <xf borderId="0" fillId="2" fontId="3" numFmtId="164" xfId="0" applyAlignment="1" applyFont="1" applyNumberFormat="1">
      <alignment shrinkToFit="0" vertical="bottom" wrapText="0"/>
    </xf>
    <xf borderId="0" fillId="2" fontId="3" numFmtId="170" xfId="0" applyAlignment="1" applyFont="1" applyNumberFormat="1">
      <alignment shrinkToFit="0" vertical="bottom" wrapText="0"/>
    </xf>
    <xf borderId="0" fillId="2" fontId="2" numFmtId="166" xfId="0" applyFont="1" applyNumberFormat="1"/>
    <xf borderId="0" fillId="2" fontId="2" numFmtId="171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7" fontId="3" numFmtId="170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2.71"/>
    <col customWidth="1" min="3" max="3" width="17.57"/>
    <col customWidth="1" min="4" max="4" width="13.86"/>
    <col customWidth="1" min="5" max="5" width="15.14"/>
    <col customWidth="1" min="6" max="6" width="13.57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/>
      <c r="B2" s="4">
        <f>AVERAGE(A15:A157)</f>
        <v>-0.002937062937</v>
      </c>
      <c r="C2" s="4"/>
      <c r="D2" s="4">
        <f>SUM(C15:C157)/(COUNT(C15:C157)-1)</f>
        <v>0.1884392002</v>
      </c>
      <c r="E2" s="4">
        <f>SQRT(D2)</f>
        <v>0.4340958422</v>
      </c>
      <c r="F2" s="5">
        <f>B2/E2</f>
        <v>-0.00676593197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/>
      <c r="B3" s="4"/>
      <c r="C3" s="4"/>
      <c r="D3" s="6"/>
      <c r="E3" s="6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/>
      <c r="B4" s="4"/>
      <c r="C4" s="4"/>
      <c r="D4" s="6"/>
      <c r="E4" s="6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4"/>
      <c r="B5" s="4"/>
      <c r="C5" s="4"/>
      <c r="D5" s="6"/>
      <c r="E5" s="6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/>
      <c r="B6" s="4"/>
      <c r="C6" s="4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/>
      <c r="B7" s="4"/>
      <c r="C7" s="4"/>
      <c r="D7" s="6"/>
      <c r="E7" s="6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/>
      <c r="B8" s="4"/>
      <c r="C8" s="4"/>
      <c r="D8" s="6"/>
      <c r="E8" s="6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4"/>
      <c r="B9" s="4"/>
      <c r="C9" s="4"/>
      <c r="D9" s="6"/>
      <c r="E9" s="6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4"/>
      <c r="B10" s="4"/>
      <c r="C10" s="4"/>
      <c r="D10" s="6"/>
      <c r="E10" s="6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4"/>
      <c r="B11" s="4"/>
      <c r="C11" s="4"/>
      <c r="D11" s="6"/>
      <c r="E11" s="6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4"/>
      <c r="B12" s="4"/>
      <c r="C12" s="4"/>
      <c r="D12" s="6"/>
      <c r="E12" s="6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4"/>
      <c r="B13" s="4"/>
      <c r="C13" s="4"/>
      <c r="D13" s="6"/>
      <c r="E13" s="6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4"/>
      <c r="B14" s="4"/>
      <c r="C14" s="4"/>
      <c r="D14" s="6"/>
      <c r="E14" s="6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4">
        <v>-0.5500000000000114</v>
      </c>
      <c r="B15" s="4">
        <v>-0.002937062937062651</v>
      </c>
      <c r="C15" s="4">
        <f t="shared" ref="C15:C157" si="1">(A15-B15)^2</f>
        <v>0.2992778571</v>
      </c>
      <c r="D15" s="6"/>
      <c r="E15" s="6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4">
        <v>-0.8499999999999659</v>
      </c>
      <c r="B16" s="4">
        <v>-0.002937062937062651</v>
      </c>
      <c r="C16" s="4">
        <f t="shared" si="1"/>
        <v>0.7175156193</v>
      </c>
      <c r="D16" s="6"/>
      <c r="E16" s="6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4">
        <v>-0.4600000000000364</v>
      </c>
      <c r="B17" s="4">
        <v>-0.002937062937062651</v>
      </c>
      <c r="C17" s="4">
        <f t="shared" si="1"/>
        <v>0.2089065284</v>
      </c>
      <c r="D17" s="6"/>
      <c r="E17" s="6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4">
        <v>-0.19999999999998863</v>
      </c>
      <c r="B18" s="4">
        <v>-0.002937062937062651</v>
      </c>
      <c r="C18" s="4">
        <f t="shared" si="1"/>
        <v>0.03883380116</v>
      </c>
      <c r="D18" s="6"/>
      <c r="E18" s="6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4">
        <v>0.6500000000000341</v>
      </c>
      <c r="B19" s="4">
        <v>-0.002937062937062651</v>
      </c>
      <c r="C19" s="4">
        <f t="shared" si="1"/>
        <v>0.4263268082</v>
      </c>
      <c r="D19" s="6"/>
      <c r="E19" s="6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4">
        <v>0.7300000000000182</v>
      </c>
      <c r="B20" s="4">
        <v>-0.002937062937062651</v>
      </c>
      <c r="C20" s="4">
        <f t="shared" si="1"/>
        <v>0.5371967382</v>
      </c>
      <c r="D20" s="6"/>
      <c r="E20" s="6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4">
        <v>-0.2900000000000773</v>
      </c>
      <c r="B21" s="4">
        <v>-0.002937062937062651</v>
      </c>
      <c r="C21" s="4">
        <f t="shared" si="1"/>
        <v>0.08240512984</v>
      </c>
      <c r="D21" s="6"/>
      <c r="E21" s="6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4">
        <v>0.060000000000002274</v>
      </c>
      <c r="B22" s="4">
        <v>-0.002937062937062651</v>
      </c>
      <c r="C22" s="4">
        <f t="shared" si="1"/>
        <v>0.003961073891</v>
      </c>
      <c r="D22" s="6"/>
      <c r="E22" s="6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4">
        <v>-0.0999999999999659</v>
      </c>
      <c r="B23" s="4">
        <v>-0.002937062937062651</v>
      </c>
      <c r="C23" s="4">
        <f t="shared" si="1"/>
        <v>0.009421213751</v>
      </c>
      <c r="D23" s="6"/>
      <c r="E23" s="6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4">
        <v>-0.040000000000020464</v>
      </c>
      <c r="B24" s="4">
        <v>-0.002937062937062651</v>
      </c>
      <c r="C24" s="4">
        <f t="shared" si="1"/>
        <v>0.001373661304</v>
      </c>
      <c r="D24" s="6"/>
      <c r="E24" s="6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4">
        <v>0.20999999999997954</v>
      </c>
      <c r="B25" s="4">
        <v>-0.002937062937062651</v>
      </c>
      <c r="C25" s="4">
        <f t="shared" si="1"/>
        <v>0.04534219277</v>
      </c>
      <c r="D25" s="6"/>
      <c r="E25" s="6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4">
        <v>-0.6699999999999591</v>
      </c>
      <c r="B26" s="4">
        <v>-0.002937062937062651</v>
      </c>
      <c r="C26" s="4">
        <f t="shared" si="1"/>
        <v>0.444972962</v>
      </c>
      <c r="D26" s="6"/>
      <c r="E26" s="6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4">
        <v>-0.339999999999975</v>
      </c>
      <c r="B27" s="4">
        <v>-0.002937062937062651</v>
      </c>
      <c r="C27" s="4">
        <f t="shared" si="1"/>
        <v>0.1136114235</v>
      </c>
      <c r="D27" s="6"/>
      <c r="E27" s="6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4">
        <v>0.8999999999999773</v>
      </c>
      <c r="B28" s="4">
        <v>-0.002937062937062651</v>
      </c>
      <c r="C28" s="4">
        <f t="shared" si="1"/>
        <v>0.8152953396</v>
      </c>
      <c r="D28" s="6"/>
      <c r="E28" s="6"/>
      <c r="F28" s="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4">
        <v>0.8500000000000227</v>
      </c>
      <c r="B29" s="4">
        <v>-0.002937062937062651</v>
      </c>
      <c r="C29" s="4">
        <f t="shared" si="1"/>
        <v>0.7275016333</v>
      </c>
      <c r="D29" s="6"/>
      <c r="E29" s="6"/>
      <c r="F29" s="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4">
        <v>-0.14999999999997726</v>
      </c>
      <c r="B30" s="4">
        <v>-0.002937062937062651</v>
      </c>
      <c r="C30" s="4">
        <f t="shared" si="1"/>
        <v>0.02162750746</v>
      </c>
      <c r="D30" s="6"/>
      <c r="E30" s="6"/>
      <c r="F30" s="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4">
        <v>-0.6500000000000341</v>
      </c>
      <c r="B31" s="4">
        <v>-0.002937062937062651</v>
      </c>
      <c r="C31" s="4">
        <f t="shared" si="1"/>
        <v>0.4186904445</v>
      </c>
      <c r="D31" s="6"/>
      <c r="E31" s="6"/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4">
        <v>-0.1300000000000523</v>
      </c>
      <c r="B32" s="4">
        <v>-0.002937062937062651</v>
      </c>
      <c r="C32" s="4">
        <f t="shared" si="1"/>
        <v>0.01614498998</v>
      </c>
      <c r="D32" s="6"/>
      <c r="E32" s="6"/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4">
        <v>0.3400000000000887</v>
      </c>
      <c r="B33" s="4">
        <v>-0.002937062937062651</v>
      </c>
      <c r="C33" s="4">
        <f t="shared" si="1"/>
        <v>0.1176058291</v>
      </c>
      <c r="D33" s="6"/>
      <c r="E33" s="6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4">
        <v>0.009999999999990905</v>
      </c>
      <c r="B34" s="4">
        <v>-0.002937062937062651</v>
      </c>
      <c r="C34" s="4">
        <f t="shared" si="1"/>
        <v>0.0001673675974</v>
      </c>
      <c r="D34" s="6"/>
      <c r="E34" s="6"/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4">
        <v>-0.29000000000002046</v>
      </c>
      <c r="B35" s="4">
        <v>-0.002937062937062651</v>
      </c>
      <c r="C35" s="4">
        <f t="shared" si="1"/>
        <v>0.08240512984</v>
      </c>
      <c r="D35" s="6"/>
      <c r="E35" s="6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4">
        <v>0.6399999999999864</v>
      </c>
      <c r="B36" s="4">
        <v>-0.002937062937062651</v>
      </c>
      <c r="C36" s="4">
        <f t="shared" si="1"/>
        <v>0.4133680669</v>
      </c>
      <c r="D36" s="6"/>
      <c r="E36" s="6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4">
        <v>-0.12000000000000455</v>
      </c>
      <c r="B37" s="4">
        <v>-0.002937062937062651</v>
      </c>
      <c r="C37" s="4">
        <f t="shared" si="1"/>
        <v>0.01370373123</v>
      </c>
      <c r="D37" s="6"/>
      <c r="E37" s="6"/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4">
        <v>0.17000000000001592</v>
      </c>
      <c r="B38" s="4">
        <v>-0.002937062937062651</v>
      </c>
      <c r="C38" s="4">
        <f t="shared" si="1"/>
        <v>0.02990722774</v>
      </c>
      <c r="D38" s="6"/>
      <c r="E38" s="6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4">
        <v>0.9099999999999682</v>
      </c>
      <c r="B39" s="4">
        <v>-0.002937062937062651</v>
      </c>
      <c r="C39" s="4">
        <f t="shared" si="1"/>
        <v>0.8334540809</v>
      </c>
      <c r="D39" s="6"/>
      <c r="E39" s="6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4">
        <v>-0.45999999999997954</v>
      </c>
      <c r="B40" s="4">
        <v>-0.002937062937062651</v>
      </c>
      <c r="C40" s="4">
        <f t="shared" si="1"/>
        <v>0.2089065284</v>
      </c>
      <c r="D40" s="6"/>
      <c r="E40" s="6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4">
        <v>-0.9500000000000455</v>
      </c>
      <c r="B41" s="4">
        <v>-0.002937062937062651</v>
      </c>
      <c r="C41" s="4">
        <f t="shared" si="1"/>
        <v>0.8969282068</v>
      </c>
      <c r="D41" s="6"/>
      <c r="E41" s="6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4">
        <v>0.4800000000000182</v>
      </c>
      <c r="B42" s="4">
        <v>-0.002937062937062651</v>
      </c>
      <c r="C42" s="4">
        <f t="shared" si="1"/>
        <v>0.2332282068</v>
      </c>
      <c r="D42" s="6"/>
      <c r="E42" s="6"/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4">
        <v>0.660000000000025</v>
      </c>
      <c r="B43" s="4">
        <v>-0.002937062937062651</v>
      </c>
      <c r="C43" s="4">
        <f t="shared" si="1"/>
        <v>0.4394855494</v>
      </c>
      <c r="D43" s="6"/>
      <c r="E43" s="6"/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4">
        <v>-0.37999999999999545</v>
      </c>
      <c r="B44" s="4">
        <v>-0.002937062937062651</v>
      </c>
      <c r="C44" s="4">
        <f t="shared" si="1"/>
        <v>0.1421764585</v>
      </c>
      <c r="D44" s="6"/>
      <c r="E44" s="6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4">
        <v>-0.1300000000000523</v>
      </c>
      <c r="B45" s="4">
        <v>-0.002937062937062651</v>
      </c>
      <c r="C45" s="4">
        <f t="shared" si="1"/>
        <v>0.01614498998</v>
      </c>
      <c r="D45" s="6"/>
      <c r="E45" s="6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4">
        <v>0.07000000000005002</v>
      </c>
      <c r="B46" s="4">
        <v>-0.002937062937062651</v>
      </c>
      <c r="C46" s="4">
        <f t="shared" si="1"/>
        <v>0.00531981515</v>
      </c>
      <c r="D46" s="6"/>
      <c r="E46" s="6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4">
        <v>-0.12000000000000455</v>
      </c>
      <c r="B47" s="4">
        <v>-0.002937062937062651</v>
      </c>
      <c r="C47" s="4">
        <f t="shared" si="1"/>
        <v>0.01370373123</v>
      </c>
      <c r="D47" s="6"/>
      <c r="E47" s="6"/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4">
        <v>-0.37000000000000455</v>
      </c>
      <c r="B48" s="4">
        <v>-0.002937062937062651</v>
      </c>
      <c r="C48" s="4">
        <f t="shared" si="1"/>
        <v>0.1347351998</v>
      </c>
      <c r="D48" s="6"/>
      <c r="E48" s="6"/>
      <c r="F48" s="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4">
        <v>0.020000000000038654</v>
      </c>
      <c r="B49" s="4">
        <v>-0.002937062937062651</v>
      </c>
      <c r="C49" s="4">
        <f t="shared" si="1"/>
        <v>0.0005261088562</v>
      </c>
      <c r="D49" s="6"/>
      <c r="E49" s="6"/>
      <c r="F49" s="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4">
        <v>-0.1300000000000523</v>
      </c>
      <c r="B50" s="4">
        <v>-0.002937062937062651</v>
      </c>
      <c r="C50" s="4">
        <f t="shared" si="1"/>
        <v>0.01614498998</v>
      </c>
      <c r="D50" s="6"/>
      <c r="E50" s="6"/>
      <c r="F50" s="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4">
        <v>-0.7199999999999704</v>
      </c>
      <c r="B51" s="4">
        <v>-0.002937062937062651</v>
      </c>
      <c r="C51" s="4">
        <f t="shared" si="1"/>
        <v>0.5141792557</v>
      </c>
      <c r="D51" s="6"/>
      <c r="E51" s="6"/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4">
        <v>0.4900000000000091</v>
      </c>
      <c r="B52" s="4">
        <v>-0.002937062937062651</v>
      </c>
      <c r="C52" s="4">
        <f t="shared" si="1"/>
        <v>0.242986948</v>
      </c>
      <c r="D52" s="6"/>
      <c r="E52" s="6"/>
      <c r="F52" s="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4">
        <v>0.9200000000000159</v>
      </c>
      <c r="B53" s="4">
        <v>-0.002937062937062651</v>
      </c>
      <c r="C53" s="4">
        <f t="shared" si="1"/>
        <v>0.8518128221</v>
      </c>
      <c r="D53" s="6"/>
      <c r="E53" s="6"/>
      <c r="F53" s="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4">
        <v>-0.32000000000005</v>
      </c>
      <c r="B54" s="4">
        <v>-0.002937062937062651</v>
      </c>
      <c r="C54" s="4">
        <f t="shared" si="1"/>
        <v>0.1005289061</v>
      </c>
      <c r="D54" s="6"/>
      <c r="E54" s="6"/>
      <c r="F54" s="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4">
        <v>-0.38999999999998636</v>
      </c>
      <c r="B55" s="4">
        <v>-0.002937062937062651</v>
      </c>
      <c r="C55" s="4">
        <f t="shared" si="1"/>
        <v>0.1498177172</v>
      </c>
      <c r="D55" s="6"/>
      <c r="E55" s="6"/>
      <c r="F55" s="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4">
        <v>-0.46999999999997044</v>
      </c>
      <c r="B56" s="4">
        <v>-0.002937062937062651</v>
      </c>
      <c r="C56" s="4">
        <f t="shared" si="1"/>
        <v>0.2181477872</v>
      </c>
      <c r="D56" s="6"/>
      <c r="E56" s="6"/>
      <c r="F56" s="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4">
        <v>-0.25</v>
      </c>
      <c r="B57" s="4">
        <v>-0.002937062937062651</v>
      </c>
      <c r="C57" s="4">
        <f t="shared" si="1"/>
        <v>0.06104009487</v>
      </c>
      <c r="D57" s="6"/>
      <c r="E57" s="6"/>
      <c r="F57" s="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4">
        <v>0.1099999999999568</v>
      </c>
      <c r="B58" s="4">
        <v>-0.002937062937062651</v>
      </c>
      <c r="C58" s="4">
        <f t="shared" si="1"/>
        <v>0.01275478018</v>
      </c>
      <c r="D58" s="6"/>
      <c r="E58" s="6"/>
      <c r="F58" s="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4">
        <v>0.18999999999999773</v>
      </c>
      <c r="B59" s="4">
        <v>-0.002937062937062651</v>
      </c>
      <c r="C59" s="4">
        <f t="shared" si="1"/>
        <v>0.03722471025</v>
      </c>
      <c r="D59" s="6"/>
      <c r="E59" s="6"/>
      <c r="F59" s="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4">
        <v>0.26000000000004775</v>
      </c>
      <c r="B60" s="4">
        <v>-0.002937062937062651</v>
      </c>
      <c r="C60" s="4">
        <f t="shared" si="1"/>
        <v>0.06913589907</v>
      </c>
      <c r="D60" s="6"/>
      <c r="E60" s="6"/>
      <c r="F60" s="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4">
        <v>0.15999999999996817</v>
      </c>
      <c r="B61" s="4">
        <v>-0.002937062937062651</v>
      </c>
      <c r="C61" s="4">
        <f t="shared" si="1"/>
        <v>0.02654848648</v>
      </c>
      <c r="D61" s="6"/>
      <c r="E61" s="6"/>
      <c r="F61" s="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4">
        <v>-0.07999999999998408</v>
      </c>
      <c r="B62" s="4">
        <v>-0.002937062937062651</v>
      </c>
      <c r="C62" s="4">
        <f t="shared" si="1"/>
        <v>0.005938696269</v>
      </c>
      <c r="D62" s="6"/>
      <c r="E62" s="6"/>
      <c r="F62" s="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4">
        <v>-0.10000000000002274</v>
      </c>
      <c r="B63" s="4">
        <v>-0.002937062937062651</v>
      </c>
      <c r="C63" s="4">
        <f t="shared" si="1"/>
        <v>0.009421213751</v>
      </c>
      <c r="D63" s="6"/>
      <c r="E63" s="6"/>
      <c r="F63" s="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4">
        <v>-0.2300000000000182</v>
      </c>
      <c r="B64" s="4">
        <v>-0.002937062937062651</v>
      </c>
      <c r="C64" s="4">
        <f t="shared" si="1"/>
        <v>0.05155757739</v>
      </c>
      <c r="D64" s="6"/>
      <c r="E64" s="6"/>
      <c r="F64" s="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4">
        <v>0.21000000000003638</v>
      </c>
      <c r="B65" s="4">
        <v>-0.002937062937062651</v>
      </c>
      <c r="C65" s="4">
        <f t="shared" si="1"/>
        <v>0.04534219277</v>
      </c>
      <c r="D65" s="6"/>
      <c r="E65" s="6"/>
      <c r="F65" s="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4">
        <v>-0.12999999999999545</v>
      </c>
      <c r="B66" s="4">
        <v>-0.002937062937062651</v>
      </c>
      <c r="C66" s="4">
        <f t="shared" si="1"/>
        <v>0.01614498998</v>
      </c>
      <c r="D66" s="6"/>
      <c r="E66" s="6"/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4">
        <v>-0.3900000000000432</v>
      </c>
      <c r="B67" s="4">
        <v>-0.002937062937062651</v>
      </c>
      <c r="C67" s="4">
        <f t="shared" si="1"/>
        <v>0.1498177172</v>
      </c>
      <c r="D67" s="6"/>
      <c r="E67" s="6"/>
      <c r="F67" s="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4">
        <v>0.4600000000000364</v>
      </c>
      <c r="B68" s="4">
        <v>-0.002937062937062651</v>
      </c>
      <c r="C68" s="4">
        <f t="shared" si="1"/>
        <v>0.2143107242</v>
      </c>
      <c r="D68" s="6"/>
      <c r="E68" s="6"/>
      <c r="F68" s="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4">
        <v>0.40999999999996817</v>
      </c>
      <c r="B69" s="4">
        <v>-0.002937062937062651</v>
      </c>
      <c r="C69" s="4">
        <f t="shared" si="1"/>
        <v>0.1705170179</v>
      </c>
      <c r="D69" s="6"/>
      <c r="E69" s="6"/>
      <c r="F69" s="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4">
        <v>-0.06999999999999318</v>
      </c>
      <c r="B70" s="4">
        <v>-0.002937062937062651</v>
      </c>
      <c r="C70" s="4">
        <f t="shared" si="1"/>
        <v>0.004497437528</v>
      </c>
      <c r="D70" s="6"/>
      <c r="E70" s="6"/>
      <c r="F70" s="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4">
        <v>0.2400000000000091</v>
      </c>
      <c r="B71" s="4">
        <v>-0.002937062937062651</v>
      </c>
      <c r="C71" s="4">
        <f t="shared" si="1"/>
        <v>0.05901841655</v>
      </c>
      <c r="D71" s="6"/>
      <c r="E71" s="6"/>
      <c r="F71" s="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4">
        <v>-0.11000000000001364</v>
      </c>
      <c r="B72" s="4">
        <v>-0.002937062937062651</v>
      </c>
      <c r="C72" s="4">
        <f t="shared" si="1"/>
        <v>0.01146247249</v>
      </c>
      <c r="D72" s="6"/>
      <c r="E72" s="6"/>
      <c r="F72" s="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4">
        <v>-0.18999999999999773</v>
      </c>
      <c r="B73" s="4">
        <v>-0.002937062937062651</v>
      </c>
      <c r="C73" s="4">
        <f t="shared" si="1"/>
        <v>0.03499254242</v>
      </c>
      <c r="D73" s="6"/>
      <c r="E73" s="6"/>
      <c r="F73" s="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4">
        <v>0.38999999999998636</v>
      </c>
      <c r="B74" s="4">
        <v>-0.002937062937062651</v>
      </c>
      <c r="C74" s="4">
        <f t="shared" si="1"/>
        <v>0.1543995354</v>
      </c>
      <c r="D74" s="6"/>
      <c r="E74" s="6"/>
      <c r="F74" s="6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4">
        <v>0.5800000000000409</v>
      </c>
      <c r="B75" s="4">
        <v>-0.002937062937062651</v>
      </c>
      <c r="C75" s="4">
        <f t="shared" si="1"/>
        <v>0.3398156193</v>
      </c>
      <c r="D75" s="6"/>
      <c r="E75" s="6"/>
      <c r="F75" s="6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4">
        <v>0.39999999999997726</v>
      </c>
      <c r="B76" s="4">
        <v>-0.002937062937062651</v>
      </c>
      <c r="C76" s="4">
        <f t="shared" si="1"/>
        <v>0.1623582767</v>
      </c>
      <c r="D76" s="6"/>
      <c r="E76" s="6"/>
      <c r="F76" s="6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4">
        <v>0.029999999999972715</v>
      </c>
      <c r="B77" s="4">
        <v>-0.002937062937062651</v>
      </c>
      <c r="C77" s="4">
        <f t="shared" si="1"/>
        <v>0.001084850115</v>
      </c>
      <c r="D77" s="6"/>
      <c r="E77" s="6"/>
      <c r="F77" s="6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4">
        <v>0.08000000000004093</v>
      </c>
      <c r="B78" s="4">
        <v>-0.002937062937062651</v>
      </c>
      <c r="C78" s="4">
        <f t="shared" si="1"/>
        <v>0.006878556409</v>
      </c>
      <c r="D78" s="6"/>
      <c r="E78" s="6"/>
      <c r="F78" s="6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4">
        <v>-0.060000000000002274</v>
      </c>
      <c r="B79" s="4">
        <v>-0.002937062937062651</v>
      </c>
      <c r="C79" s="4">
        <f t="shared" si="1"/>
        <v>0.003256178786</v>
      </c>
      <c r="D79" s="6"/>
      <c r="E79" s="6"/>
      <c r="F79" s="6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4">
        <v>-0.25</v>
      </c>
      <c r="B80" s="4">
        <v>-0.002937062937062651</v>
      </c>
      <c r="C80" s="4">
        <f t="shared" si="1"/>
        <v>0.06104009487</v>
      </c>
      <c r="D80" s="6"/>
      <c r="E80" s="6"/>
      <c r="F80" s="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4">
        <v>-0.6699999999999591</v>
      </c>
      <c r="B81" s="4">
        <v>-0.002937062937062651</v>
      </c>
      <c r="C81" s="4">
        <f t="shared" si="1"/>
        <v>0.444972962</v>
      </c>
      <c r="D81" s="6"/>
      <c r="E81" s="6"/>
      <c r="F81" s="6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4">
        <v>-0.22000000000002728</v>
      </c>
      <c r="B82" s="4">
        <v>-0.002937062937062651</v>
      </c>
      <c r="C82" s="4">
        <f t="shared" si="1"/>
        <v>0.04711631865</v>
      </c>
      <c r="D82" s="6"/>
      <c r="E82" s="6"/>
      <c r="F82" s="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4">
        <v>0.6800000000000068</v>
      </c>
      <c r="B83" s="4">
        <v>-0.002937062937062651</v>
      </c>
      <c r="C83" s="4">
        <f t="shared" si="1"/>
        <v>0.4664030319</v>
      </c>
      <c r="D83" s="6"/>
      <c r="E83" s="6"/>
      <c r="F83" s="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4">
        <v>0.3199999999999932</v>
      </c>
      <c r="B84" s="4">
        <v>-0.002937062937062651</v>
      </c>
      <c r="C84" s="4">
        <f t="shared" si="1"/>
        <v>0.1042883466</v>
      </c>
      <c r="D84" s="6"/>
      <c r="E84" s="6"/>
      <c r="F84" s="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4">
        <v>-0.410000000000025</v>
      </c>
      <c r="B85" s="4">
        <v>-0.002937062937062651</v>
      </c>
      <c r="C85" s="4">
        <f t="shared" si="1"/>
        <v>0.1657002347</v>
      </c>
      <c r="D85" s="6"/>
      <c r="E85" s="6"/>
      <c r="F85" s="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4">
        <v>-0.2999999999999545</v>
      </c>
      <c r="B86" s="4">
        <v>-0.002937062937062651</v>
      </c>
      <c r="C86" s="4">
        <f t="shared" si="1"/>
        <v>0.08824638858</v>
      </c>
      <c r="D86" s="6"/>
      <c r="E86" s="6"/>
      <c r="F86" s="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4">
        <v>-0.19000000000005457</v>
      </c>
      <c r="B87" s="4">
        <v>-0.002937062937062651</v>
      </c>
      <c r="C87" s="4">
        <f t="shared" si="1"/>
        <v>0.03499254242</v>
      </c>
      <c r="D87" s="6"/>
      <c r="E87" s="6"/>
      <c r="F87" s="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4">
        <v>-0.5399999999999636</v>
      </c>
      <c r="B88" s="4">
        <v>-0.002937062937062651</v>
      </c>
      <c r="C88" s="4">
        <f t="shared" si="1"/>
        <v>0.2884365984</v>
      </c>
      <c r="D88" s="6"/>
      <c r="E88" s="6"/>
      <c r="F88" s="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4">
        <v>-0.46999999999997044</v>
      </c>
      <c r="B89" s="4">
        <v>-0.002937062937062651</v>
      </c>
      <c r="C89" s="4">
        <f t="shared" si="1"/>
        <v>0.2181477872</v>
      </c>
      <c r="D89" s="6"/>
      <c r="E89" s="6"/>
      <c r="F89" s="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4">
        <v>0.23999999999995225</v>
      </c>
      <c r="B90" s="4">
        <v>-0.002937062937062651</v>
      </c>
      <c r="C90" s="4">
        <f t="shared" si="1"/>
        <v>0.05901841655</v>
      </c>
      <c r="D90" s="6"/>
      <c r="E90" s="6"/>
      <c r="F90" s="6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4">
        <v>0.2400000000000091</v>
      </c>
      <c r="B91" s="4">
        <v>-0.002937062937062651</v>
      </c>
      <c r="C91" s="4">
        <f t="shared" si="1"/>
        <v>0.05901841655</v>
      </c>
      <c r="D91" s="6"/>
      <c r="E91" s="6"/>
      <c r="F91" s="6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4">
        <v>0.45999999999997954</v>
      </c>
      <c r="B92" s="4">
        <v>-0.002937062937062651</v>
      </c>
      <c r="C92" s="4">
        <f t="shared" si="1"/>
        <v>0.2143107242</v>
      </c>
      <c r="D92" s="6"/>
      <c r="E92" s="6"/>
      <c r="F92" s="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4">
        <v>0.5999999999999659</v>
      </c>
      <c r="B93" s="4">
        <v>-0.002937062937062651</v>
      </c>
      <c r="C93" s="4">
        <f t="shared" si="1"/>
        <v>0.3635331019</v>
      </c>
      <c r="D93" s="6"/>
      <c r="E93" s="6"/>
      <c r="F93" s="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4">
        <v>-0.2899999999999636</v>
      </c>
      <c r="B94" s="4">
        <v>-0.002937062937062651</v>
      </c>
      <c r="C94" s="4">
        <f t="shared" si="1"/>
        <v>0.08240512984</v>
      </c>
      <c r="D94" s="6"/>
      <c r="E94" s="6"/>
      <c r="F94" s="6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4">
        <v>-0.9199999999999591</v>
      </c>
      <c r="B95" s="4">
        <v>-0.002937062937062651</v>
      </c>
      <c r="C95" s="4">
        <f t="shared" si="1"/>
        <v>0.8410044305</v>
      </c>
      <c r="D95" s="6"/>
      <c r="E95" s="6"/>
      <c r="F95" s="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4">
        <v>-0.25000000000005684</v>
      </c>
      <c r="B96" s="4">
        <v>-0.002937062937062651</v>
      </c>
      <c r="C96" s="4">
        <f t="shared" si="1"/>
        <v>0.06104009487</v>
      </c>
      <c r="D96" s="6"/>
      <c r="E96" s="6"/>
      <c r="F96" s="6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4">
        <v>0.28000000000002956</v>
      </c>
      <c r="B97" s="4">
        <v>-0.002937062937062651</v>
      </c>
      <c r="C97" s="4">
        <f t="shared" si="1"/>
        <v>0.08005338158</v>
      </c>
      <c r="D97" s="6"/>
      <c r="E97" s="6"/>
      <c r="F97" s="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4">
        <v>0.3100000000000023</v>
      </c>
      <c r="B98" s="4">
        <v>-0.002937062937062651</v>
      </c>
      <c r="C98" s="4">
        <f t="shared" si="1"/>
        <v>0.09792960536</v>
      </c>
      <c r="D98" s="6"/>
      <c r="E98" s="6"/>
      <c r="F98" s="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4">
        <v>0.009999999999990905</v>
      </c>
      <c r="B99" s="4">
        <v>-0.002937062937062651</v>
      </c>
      <c r="C99" s="4">
        <f t="shared" si="1"/>
        <v>0.0001673675974</v>
      </c>
      <c r="D99" s="6"/>
      <c r="E99" s="6"/>
      <c r="F99" s="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4">
        <v>-0.3199999999999932</v>
      </c>
      <c r="B100" s="4">
        <v>-0.002937062937062651</v>
      </c>
      <c r="C100" s="4">
        <f t="shared" si="1"/>
        <v>0.1005289061</v>
      </c>
      <c r="D100" s="6"/>
      <c r="E100" s="6"/>
      <c r="F100" s="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4">
        <v>-0.19000000000005457</v>
      </c>
      <c r="B101" s="4">
        <v>-0.002937062937062651</v>
      </c>
      <c r="C101" s="4">
        <f t="shared" si="1"/>
        <v>0.03499254242</v>
      </c>
      <c r="D101" s="6"/>
      <c r="E101" s="6"/>
      <c r="F101" s="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4">
        <v>-0.0999999999999659</v>
      </c>
      <c r="B102" s="4">
        <v>-0.002937062937062651</v>
      </c>
      <c r="C102" s="4">
        <f t="shared" si="1"/>
        <v>0.009421213751</v>
      </c>
      <c r="D102" s="6"/>
      <c r="E102" s="6"/>
      <c r="F102" s="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4">
        <v>0.07000000000005002</v>
      </c>
      <c r="B103" s="4">
        <v>-0.002937062937062651</v>
      </c>
      <c r="C103" s="4">
        <f t="shared" si="1"/>
        <v>0.00531981515</v>
      </c>
      <c r="D103" s="6"/>
      <c r="E103" s="6"/>
      <c r="F103" s="6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4">
        <v>0.31999999999993634</v>
      </c>
      <c r="B104" s="4">
        <v>-0.002937062937062651</v>
      </c>
      <c r="C104" s="4">
        <f t="shared" si="1"/>
        <v>0.1042883466</v>
      </c>
      <c r="D104" s="6"/>
      <c r="E104" s="6"/>
      <c r="F104" s="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4">
        <v>0.10000000000007958</v>
      </c>
      <c r="B105" s="4">
        <v>-0.002937062937062651</v>
      </c>
      <c r="C105" s="4">
        <f t="shared" si="1"/>
        <v>0.01059603893</v>
      </c>
      <c r="D105" s="6"/>
      <c r="E105" s="6"/>
      <c r="F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4">
        <v>0.17999999999994998</v>
      </c>
      <c r="B106" s="4">
        <v>-0.002937062937062651</v>
      </c>
      <c r="C106" s="4">
        <f t="shared" si="1"/>
        <v>0.033465969</v>
      </c>
      <c r="D106" s="6"/>
      <c r="E106" s="6"/>
      <c r="F106" s="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4">
        <v>0.2899999999999636</v>
      </c>
      <c r="B107" s="4">
        <v>-0.002937062937062651</v>
      </c>
      <c r="C107" s="4">
        <f t="shared" si="1"/>
        <v>0.08581212284</v>
      </c>
      <c r="D107" s="6"/>
      <c r="E107" s="6"/>
      <c r="F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4">
        <v>0.10000000000007958</v>
      </c>
      <c r="B108" s="4">
        <v>-0.002937062937062651</v>
      </c>
      <c r="C108" s="4">
        <f t="shared" si="1"/>
        <v>0.01059603893</v>
      </c>
      <c r="D108" s="6"/>
      <c r="E108" s="6"/>
      <c r="F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4">
        <v>-0.21000000000003638</v>
      </c>
      <c r="B109" s="4">
        <v>-0.002937062937062651</v>
      </c>
      <c r="C109" s="4">
        <f t="shared" si="1"/>
        <v>0.04287505991</v>
      </c>
      <c r="D109" s="6"/>
      <c r="E109" s="6"/>
      <c r="F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4">
        <v>0.1099999999999568</v>
      </c>
      <c r="B110" s="4">
        <v>-0.002937062937062651</v>
      </c>
      <c r="C110" s="4">
        <f t="shared" si="1"/>
        <v>0.01275478018</v>
      </c>
      <c r="D110" s="6"/>
      <c r="E110" s="6"/>
      <c r="F110" s="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4">
        <v>0.34000000000003183</v>
      </c>
      <c r="B111" s="4">
        <v>-0.002937062937062651</v>
      </c>
      <c r="C111" s="4">
        <f t="shared" si="1"/>
        <v>0.1176058291</v>
      </c>
      <c r="D111" s="6"/>
      <c r="E111" s="6"/>
      <c r="F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4">
        <v>-0.339999999999975</v>
      </c>
      <c r="B112" s="4">
        <v>-0.002937062937062651</v>
      </c>
      <c r="C112" s="4">
        <f t="shared" si="1"/>
        <v>0.1136114235</v>
      </c>
      <c r="D112" s="6"/>
      <c r="E112" s="6"/>
      <c r="F112" s="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4">
        <v>-0.2400000000000091</v>
      </c>
      <c r="B113" s="4">
        <v>-0.002937062937062651</v>
      </c>
      <c r="C113" s="4">
        <f t="shared" si="1"/>
        <v>0.05619883613</v>
      </c>
      <c r="D113" s="6"/>
      <c r="E113" s="6"/>
      <c r="F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4">
        <v>0.8400000000000318</v>
      </c>
      <c r="B114" s="4">
        <v>-0.002937062937062651</v>
      </c>
      <c r="C114" s="4">
        <f t="shared" si="1"/>
        <v>0.7105428921</v>
      </c>
      <c r="D114" s="6"/>
      <c r="E114" s="6"/>
      <c r="F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4">
        <v>0.30999999999994543</v>
      </c>
      <c r="B115" s="4">
        <v>-0.002937062937062651</v>
      </c>
      <c r="C115" s="4">
        <f t="shared" si="1"/>
        <v>0.09792960536</v>
      </c>
      <c r="D115" s="6"/>
      <c r="E115" s="6"/>
      <c r="F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4">
        <v>-0.9399999999999409</v>
      </c>
      <c r="B116" s="4">
        <v>-0.002937062937062651</v>
      </c>
      <c r="C116" s="4">
        <f t="shared" si="1"/>
        <v>0.878086948</v>
      </c>
      <c r="D116" s="6"/>
      <c r="E116" s="6"/>
      <c r="F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4">
        <v>-0.18000000000006366</v>
      </c>
      <c r="B117" s="4">
        <v>-0.002937062937062651</v>
      </c>
      <c r="C117" s="4">
        <f t="shared" si="1"/>
        <v>0.03135128368</v>
      </c>
      <c r="D117" s="6"/>
      <c r="E117" s="6"/>
      <c r="F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4">
        <v>0.57000000000005</v>
      </c>
      <c r="B118" s="4">
        <v>-0.002937062937062651</v>
      </c>
      <c r="C118" s="4">
        <f t="shared" si="1"/>
        <v>0.3282568781</v>
      </c>
      <c r="D118" s="6"/>
      <c r="E118" s="6"/>
      <c r="F118" s="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4">
        <v>-0.4300000000000068</v>
      </c>
      <c r="B119" s="4">
        <v>-0.002937062937062651</v>
      </c>
      <c r="C119" s="4">
        <f t="shared" si="1"/>
        <v>0.1823827522</v>
      </c>
      <c r="D119" s="6"/>
      <c r="E119" s="6"/>
      <c r="F119" s="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4">
        <v>-0.5400000000000205</v>
      </c>
      <c r="B120" s="4">
        <v>-0.002937062937062651</v>
      </c>
      <c r="C120" s="4">
        <f t="shared" si="1"/>
        <v>0.2884365984</v>
      </c>
      <c r="D120" s="6"/>
      <c r="E120" s="6"/>
      <c r="F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4">
        <v>0.4700000000000273</v>
      </c>
      <c r="B121" s="4">
        <v>-0.002937062937062651</v>
      </c>
      <c r="C121" s="4">
        <f t="shared" si="1"/>
        <v>0.2236694655</v>
      </c>
      <c r="D121" s="6"/>
      <c r="E121" s="6"/>
      <c r="F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4">
        <v>0.06999999999999318</v>
      </c>
      <c r="B122" s="4">
        <v>-0.002937062937062651</v>
      </c>
      <c r="C122" s="4">
        <f t="shared" si="1"/>
        <v>0.00531981515</v>
      </c>
      <c r="D122" s="6"/>
      <c r="E122" s="6"/>
      <c r="F122" s="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4">
        <v>-0.589999999999975</v>
      </c>
      <c r="B123" s="4">
        <v>-0.002937062937062651</v>
      </c>
      <c r="C123" s="4">
        <f t="shared" si="1"/>
        <v>0.3446428921</v>
      </c>
      <c r="D123" s="6"/>
      <c r="E123" s="6"/>
      <c r="F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4">
        <v>0.30999999999994543</v>
      </c>
      <c r="B124" s="4">
        <v>-0.002937062937062651</v>
      </c>
      <c r="C124" s="4">
        <f t="shared" si="1"/>
        <v>0.09792960536</v>
      </c>
      <c r="D124" s="6"/>
      <c r="E124" s="6"/>
      <c r="F124" s="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4">
        <v>0.25</v>
      </c>
      <c r="B125" s="4">
        <v>-0.002937062937062651</v>
      </c>
      <c r="C125" s="4">
        <f t="shared" si="1"/>
        <v>0.06397715781</v>
      </c>
      <c r="D125" s="6"/>
      <c r="E125" s="6"/>
      <c r="F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4">
        <v>-0.34000000000003183</v>
      </c>
      <c r="B126" s="4">
        <v>-0.002937062937062651</v>
      </c>
      <c r="C126" s="4">
        <f t="shared" si="1"/>
        <v>0.1136114235</v>
      </c>
      <c r="D126" s="6"/>
      <c r="E126" s="6"/>
      <c r="F126" s="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4">
        <v>0.26000000000004775</v>
      </c>
      <c r="B127" s="4">
        <v>-0.002937062937062651</v>
      </c>
      <c r="C127" s="4">
        <f t="shared" si="1"/>
        <v>0.06913589907</v>
      </c>
      <c r="D127" s="6"/>
      <c r="E127" s="6"/>
      <c r="F127" s="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4">
        <v>0.17999999999994998</v>
      </c>
      <c r="B128" s="4">
        <v>-0.002937062937062651</v>
      </c>
      <c r="C128" s="4">
        <f t="shared" si="1"/>
        <v>0.033465969</v>
      </c>
      <c r="D128" s="6"/>
      <c r="E128" s="6"/>
      <c r="F128" s="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4">
        <v>0.07000000000005002</v>
      </c>
      <c r="B129" s="4">
        <v>-0.002937062937062651</v>
      </c>
      <c r="C129" s="4">
        <f t="shared" si="1"/>
        <v>0.00531981515</v>
      </c>
      <c r="D129" s="6"/>
      <c r="E129" s="6"/>
      <c r="F129" s="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4">
        <v>0.029999999999972715</v>
      </c>
      <c r="B130" s="4">
        <v>-0.002937062937062651</v>
      </c>
      <c r="C130" s="4">
        <f t="shared" si="1"/>
        <v>0.001084850115</v>
      </c>
      <c r="D130" s="6"/>
      <c r="E130" s="6"/>
      <c r="F130" s="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4">
        <v>-0.18000000000000682</v>
      </c>
      <c r="B131" s="4">
        <v>-0.002937062937062651</v>
      </c>
      <c r="C131" s="4">
        <f t="shared" si="1"/>
        <v>0.03135128368</v>
      </c>
      <c r="D131" s="6"/>
      <c r="E131" s="6"/>
      <c r="F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4">
        <v>-0.3299999999999841</v>
      </c>
      <c r="B132" s="4">
        <v>-0.002937062937062651</v>
      </c>
      <c r="C132" s="4">
        <f t="shared" si="1"/>
        <v>0.1069701648</v>
      </c>
      <c r="D132" s="6"/>
      <c r="E132" s="6"/>
      <c r="F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4">
        <v>-0.14999999999997726</v>
      </c>
      <c r="B133" s="4">
        <v>-0.002937062937062651</v>
      </c>
      <c r="C133" s="4">
        <f t="shared" si="1"/>
        <v>0.02162750746</v>
      </c>
      <c r="D133" s="6"/>
      <c r="E133" s="6"/>
      <c r="F133" s="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4">
        <v>0.029999999999972715</v>
      </c>
      <c r="B134" s="4">
        <v>-0.002937062937062651</v>
      </c>
      <c r="C134" s="4">
        <f t="shared" si="1"/>
        <v>0.001084850115</v>
      </c>
      <c r="D134" s="6"/>
      <c r="E134" s="6"/>
      <c r="F134" s="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4">
        <v>0.36000000000001364</v>
      </c>
      <c r="B135" s="4">
        <v>-0.002937062937062651</v>
      </c>
      <c r="C135" s="4">
        <f t="shared" si="1"/>
        <v>0.1317233117</v>
      </c>
      <c r="D135" s="6"/>
      <c r="E135" s="6"/>
      <c r="F135" s="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4">
        <v>0.44999999999998863</v>
      </c>
      <c r="B136" s="4">
        <v>-0.002937062937062651</v>
      </c>
      <c r="C136" s="4">
        <f t="shared" si="1"/>
        <v>0.205151983</v>
      </c>
      <c r="D136" s="6"/>
      <c r="E136" s="6"/>
      <c r="F136" s="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4">
        <v>0.12000000000006139</v>
      </c>
      <c r="B137" s="4">
        <v>-0.002937062937062651</v>
      </c>
      <c r="C137" s="4">
        <f t="shared" si="1"/>
        <v>0.01511352144</v>
      </c>
      <c r="D137" s="6"/>
      <c r="E137" s="6"/>
      <c r="F137" s="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4">
        <v>-1.0600000000000023</v>
      </c>
      <c r="B138" s="4">
        <v>-0.002937062937062651</v>
      </c>
      <c r="C138" s="4">
        <f t="shared" si="1"/>
        <v>1.117382053</v>
      </c>
      <c r="D138" s="6"/>
      <c r="E138" s="6"/>
      <c r="F138" s="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4">
        <v>-0.3900000000000432</v>
      </c>
      <c r="B139" s="4">
        <v>-0.002937062937062651</v>
      </c>
      <c r="C139" s="4">
        <f t="shared" si="1"/>
        <v>0.1498177172</v>
      </c>
      <c r="D139" s="6"/>
      <c r="E139" s="6"/>
      <c r="F139" s="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4">
        <v>0.5200000000000387</v>
      </c>
      <c r="B140" s="4">
        <v>-0.002937062937062651</v>
      </c>
      <c r="C140" s="4">
        <f t="shared" si="1"/>
        <v>0.2734631718</v>
      </c>
      <c r="D140" s="6"/>
      <c r="E140" s="6"/>
      <c r="F140" s="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4">
        <v>-0.28000000000002956</v>
      </c>
      <c r="B141" s="4">
        <v>-0.002937062937062651</v>
      </c>
      <c r="C141" s="4">
        <f t="shared" si="1"/>
        <v>0.07676387109</v>
      </c>
      <c r="D141" s="6"/>
      <c r="E141" s="6"/>
      <c r="F141" s="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4">
        <v>-0.18999999999999773</v>
      </c>
      <c r="B142" s="4">
        <v>-0.002937062937062651</v>
      </c>
      <c r="C142" s="4">
        <f t="shared" si="1"/>
        <v>0.03499254242</v>
      </c>
      <c r="D142" s="6"/>
      <c r="E142" s="6"/>
      <c r="F142" s="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4">
        <v>0.5699999999999932</v>
      </c>
      <c r="B143" s="4">
        <v>-0.002937062937062651</v>
      </c>
      <c r="C143" s="4">
        <f t="shared" si="1"/>
        <v>0.3282568781</v>
      </c>
      <c r="D143" s="6"/>
      <c r="E143" s="6"/>
      <c r="F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4">
        <v>0.12999999999999545</v>
      </c>
      <c r="B144" s="4">
        <v>-0.002937062937062651</v>
      </c>
      <c r="C144" s="4">
        <f t="shared" si="1"/>
        <v>0.0176722627</v>
      </c>
      <c r="D144" s="6"/>
      <c r="E144" s="6"/>
      <c r="F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4">
        <v>0.22999999999996135</v>
      </c>
      <c r="B145" s="4">
        <v>-0.002937062937062651</v>
      </c>
      <c r="C145" s="4">
        <f t="shared" si="1"/>
        <v>0.05425967529</v>
      </c>
      <c r="D145" s="6"/>
      <c r="E145" s="6"/>
      <c r="F145" s="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4">
        <v>0.27000000000003865</v>
      </c>
      <c r="B146" s="4">
        <v>-0.002937062937062651</v>
      </c>
      <c r="C146" s="4">
        <f t="shared" si="1"/>
        <v>0.07449464032</v>
      </c>
      <c r="D146" s="6"/>
      <c r="E146" s="6"/>
      <c r="F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4">
        <v>-0.1400000000000432</v>
      </c>
      <c r="B147" s="4">
        <v>-0.002937062937062651</v>
      </c>
      <c r="C147" s="4">
        <f t="shared" si="1"/>
        <v>0.01878624872</v>
      </c>
      <c r="D147" s="6"/>
      <c r="E147" s="6"/>
      <c r="F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4">
        <v>-1.0699999999999363</v>
      </c>
      <c r="B148" s="4">
        <v>-0.002937062937062651</v>
      </c>
      <c r="C148" s="4">
        <f t="shared" si="1"/>
        <v>1.138623312</v>
      </c>
      <c r="D148" s="6"/>
      <c r="E148" s="6"/>
      <c r="F148" s="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4">
        <v>-0.660000000000025</v>
      </c>
      <c r="B149" s="4">
        <v>-0.002937062937062651</v>
      </c>
      <c r="C149" s="4">
        <f t="shared" si="1"/>
        <v>0.4317317033</v>
      </c>
      <c r="D149" s="6"/>
      <c r="E149" s="6"/>
      <c r="F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4">
        <v>0.9899999999999523</v>
      </c>
      <c r="B150" s="4">
        <v>-0.002937062937062651</v>
      </c>
      <c r="C150" s="4">
        <f t="shared" si="1"/>
        <v>0.985924011</v>
      </c>
      <c r="D150" s="6"/>
      <c r="E150" s="6"/>
      <c r="F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4">
        <v>0.4900000000000091</v>
      </c>
      <c r="B151" s="4">
        <v>-0.002937062937062651</v>
      </c>
      <c r="C151" s="4">
        <f t="shared" si="1"/>
        <v>0.242986948</v>
      </c>
      <c r="D151" s="6"/>
      <c r="E151" s="6"/>
      <c r="F151" s="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4">
        <v>-0.25</v>
      </c>
      <c r="B152" s="4">
        <v>-0.002937062937062651</v>
      </c>
      <c r="C152" s="4">
        <f t="shared" si="1"/>
        <v>0.06104009487</v>
      </c>
      <c r="D152" s="6"/>
      <c r="E152" s="6"/>
      <c r="F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4">
        <v>0.34000000000003183</v>
      </c>
      <c r="B153" s="4">
        <v>-0.002937062937062651</v>
      </c>
      <c r="C153" s="4">
        <f t="shared" si="1"/>
        <v>0.1176058291</v>
      </c>
      <c r="D153" s="6"/>
      <c r="E153" s="6"/>
      <c r="F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4">
        <v>-0.18999999999999773</v>
      </c>
      <c r="B154" s="4">
        <v>-0.002937062937062651</v>
      </c>
      <c r="C154" s="4">
        <f t="shared" si="1"/>
        <v>0.03499254242</v>
      </c>
      <c r="D154" s="6"/>
      <c r="E154" s="6"/>
      <c r="F154" s="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4">
        <v>-0.5699999999999932</v>
      </c>
      <c r="B155" s="4">
        <v>-0.002937062937062651</v>
      </c>
      <c r="C155" s="4">
        <f t="shared" si="1"/>
        <v>0.3215603746</v>
      </c>
      <c r="D155" s="6"/>
      <c r="E155" s="6"/>
      <c r="F155" s="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4">
        <v>0.7199999999999704</v>
      </c>
      <c r="B156" s="4">
        <v>-0.002937062937062651</v>
      </c>
      <c r="C156" s="4">
        <f t="shared" si="1"/>
        <v>0.522637997</v>
      </c>
      <c r="D156" s="6"/>
      <c r="E156" s="6"/>
      <c r="F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4">
        <v>5.684341886080802E-14</v>
      </c>
      <c r="B157" s="4">
        <v>-0.002937062937062651</v>
      </c>
      <c r="C157" s="4">
        <f t="shared" si="1"/>
        <v>0.000008626338697</v>
      </c>
      <c r="D157" s="6"/>
      <c r="E157" s="6"/>
      <c r="F157" s="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3.0"/>
    <col customWidth="1" min="3" max="3" width="25.57"/>
  </cols>
  <sheetData>
    <row r="1">
      <c r="A1" s="7" t="s">
        <v>6</v>
      </c>
      <c r="B1" s="8">
        <v>0.2891</v>
      </c>
      <c r="C1" s="9"/>
      <c r="D1" s="10" t="s">
        <v>7</v>
      </c>
      <c r="E1" s="11"/>
      <c r="F1" s="3"/>
      <c r="G1" s="10" t="s">
        <v>8</v>
      </c>
      <c r="H1" s="1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7" t="s">
        <v>9</v>
      </c>
      <c r="B2" s="7">
        <v>-0.8384</v>
      </c>
      <c r="C2" s="9"/>
      <c r="D2" s="12" t="s">
        <v>10</v>
      </c>
      <c r="E2" s="13">
        <f>(SUM(I10:I165)/156)*100</f>
        <v>0.05222857023</v>
      </c>
      <c r="F2" s="3"/>
      <c r="G2" s="12" t="s">
        <v>10</v>
      </c>
      <c r="H2" s="13">
        <f>(SUM(I166:I177)/12)*100</f>
        <v>0.07209346808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7" t="s">
        <v>11</v>
      </c>
      <c r="B3" s="7">
        <v>0.2492</v>
      </c>
      <c r="C3" s="9"/>
      <c r="D3" s="12" t="s">
        <v>12</v>
      </c>
      <c r="E3" s="13">
        <f>sqrt(E4)</f>
        <v>0.2840861637</v>
      </c>
      <c r="F3" s="3"/>
      <c r="G3" s="12" t="s">
        <v>13</v>
      </c>
      <c r="H3" s="13">
        <f>SUM(G166:G177)/12</f>
        <v>0.1272014884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7" t="s">
        <v>14</v>
      </c>
      <c r="B4" s="7">
        <v>-0.4583</v>
      </c>
      <c r="C4" s="9"/>
      <c r="D4" s="12" t="s">
        <v>13</v>
      </c>
      <c r="E4" s="13">
        <f>SUM(G27:G165)/156</f>
        <v>0.08070494839</v>
      </c>
      <c r="F4" s="3"/>
      <c r="G4" s="12" t="s">
        <v>15</v>
      </c>
      <c r="H4" s="13">
        <f>SUM(F166:F177)/12</f>
        <v>0.3034052857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7" t="s">
        <v>16</v>
      </c>
      <c r="B5" s="7">
        <v>0.8844</v>
      </c>
      <c r="C5" s="9"/>
      <c r="D5" s="12" t="s">
        <v>15</v>
      </c>
      <c r="E5" s="13">
        <f>SUM(F10:F165)/156</f>
        <v>0.2111776641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9"/>
      <c r="B6" s="9"/>
      <c r="C6" s="9"/>
      <c r="D6" s="12" t="s">
        <v>17</v>
      </c>
      <c r="E6" s="13">
        <f>sum(G27:G165)</f>
        <v>12.58997195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9"/>
      <c r="B7" s="9"/>
      <c r="C7" s="9"/>
      <c r="D7" s="12" t="s">
        <v>18</v>
      </c>
      <c r="E7" s="13">
        <f>156*LN(E6/156)+2*5</f>
        <v>-382.6450404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9"/>
      <c r="B8" s="9"/>
      <c r="C8" s="9"/>
      <c r="D8" s="14"/>
      <c r="E8" s="14"/>
      <c r="F8" s="9"/>
      <c r="G8" s="9"/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15" t="s">
        <v>19</v>
      </c>
      <c r="B9" s="16" t="s">
        <v>20</v>
      </c>
      <c r="C9" s="14" t="s">
        <v>21</v>
      </c>
      <c r="D9" s="14" t="s">
        <v>22</v>
      </c>
      <c r="E9" s="14" t="s">
        <v>23</v>
      </c>
      <c r="F9" s="14" t="s">
        <v>24</v>
      </c>
      <c r="G9" s="14" t="s">
        <v>25</v>
      </c>
      <c r="H9" s="14" t="s">
        <v>26</v>
      </c>
      <c r="I9" s="14" t="s">
        <v>27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7">
        <v>40179.0</v>
      </c>
      <c r="B10" s="18">
        <v>1.0</v>
      </c>
      <c r="C10" s="19">
        <v>388.79</v>
      </c>
      <c r="D10" s="20"/>
      <c r="E10" s="21"/>
      <c r="F10" s="22"/>
      <c r="G10" s="22"/>
      <c r="H10" s="22"/>
      <c r="I10" s="2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7">
        <v>40210.0</v>
      </c>
      <c r="B11" s="18">
        <v>2.0</v>
      </c>
      <c r="C11" s="19">
        <v>389.92</v>
      </c>
      <c r="D11" s="20"/>
      <c r="E11" s="21"/>
      <c r="F11" s="22"/>
      <c r="G11" s="22"/>
      <c r="H11" s="22"/>
      <c r="I11" s="2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7">
        <v>40238.0</v>
      </c>
      <c r="B12" s="18">
        <v>3.0</v>
      </c>
      <c r="C12" s="19">
        <v>391.27</v>
      </c>
      <c r="D12" s="20"/>
      <c r="E12" s="21"/>
      <c r="F12" s="22"/>
      <c r="G12" s="22"/>
      <c r="H12" s="22"/>
      <c r="I12" s="2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7">
        <v>40269.0</v>
      </c>
      <c r="B13" s="18">
        <v>4.0</v>
      </c>
      <c r="C13" s="19">
        <v>392.79</v>
      </c>
      <c r="D13" s="20"/>
      <c r="E13" s="21"/>
      <c r="F13" s="22"/>
      <c r="G13" s="22"/>
      <c r="H13" s="22"/>
      <c r="I13" s="2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7">
        <v>40299.0</v>
      </c>
      <c r="B14" s="18">
        <v>5.0</v>
      </c>
      <c r="C14" s="19">
        <v>393.57</v>
      </c>
      <c r="D14" s="20"/>
      <c r="E14" s="21"/>
      <c r="F14" s="22"/>
      <c r="G14" s="22"/>
      <c r="H14" s="22"/>
      <c r="I14" s="2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7">
        <v>40330.0</v>
      </c>
      <c r="B15" s="18">
        <v>6.0</v>
      </c>
      <c r="C15" s="19">
        <v>392.45</v>
      </c>
      <c r="D15" s="20"/>
      <c r="E15" s="21"/>
      <c r="F15" s="22"/>
      <c r="G15" s="22"/>
      <c r="H15" s="22"/>
      <c r="I15" s="2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7">
        <v>40360.0</v>
      </c>
      <c r="B16" s="18">
        <v>7.0</v>
      </c>
      <c r="C16" s="19">
        <v>390.27</v>
      </c>
      <c r="D16" s="20"/>
      <c r="E16" s="21"/>
      <c r="F16" s="22"/>
      <c r="G16" s="22"/>
      <c r="H16" s="22"/>
      <c r="I16" s="2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7">
        <v>40391.0</v>
      </c>
      <c r="B17" s="18">
        <v>8.0</v>
      </c>
      <c r="C17" s="19">
        <v>388.17</v>
      </c>
      <c r="D17" s="20"/>
      <c r="E17" s="21"/>
      <c r="F17" s="22"/>
      <c r="G17" s="22"/>
      <c r="H17" s="22"/>
      <c r="I17" s="2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7">
        <v>40422.0</v>
      </c>
      <c r="B18" s="18">
        <v>9.0</v>
      </c>
      <c r="C18" s="19">
        <v>386.74</v>
      </c>
      <c r="D18" s="20"/>
      <c r="E18" s="21"/>
      <c r="F18" s="22"/>
      <c r="G18" s="22"/>
      <c r="H18" s="22"/>
      <c r="I18" s="2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7">
        <v>40452.0</v>
      </c>
      <c r="B19" s="18">
        <v>10.0</v>
      </c>
      <c r="C19" s="19">
        <v>387.39</v>
      </c>
      <c r="D19" s="20"/>
      <c r="E19" s="21"/>
      <c r="F19" s="22"/>
      <c r="G19" s="22"/>
      <c r="H19" s="22"/>
      <c r="I19" s="2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7">
        <v>40483.0</v>
      </c>
      <c r="B20" s="18">
        <v>11.0</v>
      </c>
      <c r="C20" s="19">
        <v>388.74</v>
      </c>
      <c r="D20" s="20"/>
      <c r="E20" s="21"/>
      <c r="F20" s="22"/>
      <c r="G20" s="22"/>
      <c r="H20" s="22"/>
      <c r="I20" s="2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7">
        <v>40513.0</v>
      </c>
      <c r="B21" s="18">
        <v>12.0</v>
      </c>
      <c r="C21" s="19">
        <v>390.23</v>
      </c>
      <c r="D21" s="20"/>
      <c r="E21" s="21"/>
      <c r="F21" s="22"/>
      <c r="G21" s="22"/>
      <c r="H21" s="22"/>
      <c r="I21" s="2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17">
        <v>40544.0</v>
      </c>
      <c r="B22" s="18">
        <v>13.0</v>
      </c>
      <c r="C22" s="19">
        <v>391.74</v>
      </c>
      <c r="D22" s="20"/>
      <c r="E22" s="21"/>
      <c r="F22" s="22"/>
      <c r="G22" s="22"/>
      <c r="H22" s="22"/>
      <c r="I22" s="2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7">
        <v>40575.0</v>
      </c>
      <c r="B23" s="18">
        <v>14.0</v>
      </c>
      <c r="C23" s="19">
        <v>392.32</v>
      </c>
      <c r="D23" s="24"/>
      <c r="E23" s="25"/>
      <c r="F23" s="22"/>
      <c r="G23" s="22"/>
      <c r="H23" s="22"/>
      <c r="I23" s="2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7">
        <v>40603.0</v>
      </c>
      <c r="B24" s="18">
        <v>15.0</v>
      </c>
      <c r="C24" s="19">
        <v>392.82</v>
      </c>
      <c r="D24" s="24"/>
      <c r="E24" s="25"/>
      <c r="F24" s="22"/>
      <c r="G24" s="22"/>
      <c r="H24" s="22"/>
      <c r="I24" s="2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17">
        <v>40634.0</v>
      </c>
      <c r="B25" s="18">
        <v>16.0</v>
      </c>
      <c r="C25" s="19">
        <v>393.88</v>
      </c>
      <c r="D25" s="24"/>
      <c r="E25" s="25"/>
      <c r="F25" s="22"/>
      <c r="G25" s="22"/>
      <c r="H25" s="22"/>
      <c r="I25" s="2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7">
        <v>40664.0</v>
      </c>
      <c r="B26" s="18">
        <v>17.0</v>
      </c>
      <c r="C26" s="19">
        <v>394.46</v>
      </c>
      <c r="D26" s="24"/>
      <c r="E26" s="25"/>
      <c r="F26" s="22"/>
      <c r="G26" s="22"/>
      <c r="H26" s="22"/>
      <c r="I26" s="2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17">
        <v>40695.0</v>
      </c>
      <c r="B27" s="18">
        <v>18.0</v>
      </c>
      <c r="C27" s="19">
        <v>393.99</v>
      </c>
      <c r="D27" s="24">
        <f t="shared" ref="D27:D177" si="1">C27-E27</f>
        <v>0.281911</v>
      </c>
      <c r="E27" s="25">
        <f t="shared" ref="E27:E177" si="2">C26+C15-C14+($B$1*(C26-C14-C25+C13))+($B$2*(C25-C13-C24+C12))+($B$3*(C24-C12-C23+C11))+($B$4*(C23-C11-C22+C10))-($B$5*(D15))</f>
        <v>393.708089</v>
      </c>
      <c r="F27" s="22">
        <f t="shared" ref="F27:F177" si="3">abs(D27)</f>
        <v>0.281911</v>
      </c>
      <c r="G27" s="22">
        <f t="shared" ref="G27:G177" si="4">D27^2</f>
        <v>0.07947381192</v>
      </c>
      <c r="H27" s="22">
        <f t="shared" ref="H27:H177" si="5">D27/C27</f>
        <v>0.0007155283129</v>
      </c>
      <c r="I27" s="22">
        <f t="shared" ref="I27:I177" si="6">abs(H27)</f>
        <v>0.0007155283129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17">
        <v>40725.0</v>
      </c>
      <c r="B28" s="18">
        <v>19.0</v>
      </c>
      <c r="C28" s="19">
        <v>392.54</v>
      </c>
      <c r="D28" s="24">
        <f t="shared" si="1"/>
        <v>0.099482</v>
      </c>
      <c r="E28" s="25">
        <f t="shared" si="2"/>
        <v>392.440518</v>
      </c>
      <c r="F28" s="22">
        <f t="shared" si="3"/>
        <v>0.099482</v>
      </c>
      <c r="G28" s="22">
        <f t="shared" si="4"/>
        <v>0.009896668324</v>
      </c>
      <c r="H28" s="22">
        <f t="shared" si="5"/>
        <v>0.0002534314974</v>
      </c>
      <c r="I28" s="22">
        <f t="shared" si="6"/>
        <v>0.0002534314974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7">
        <v>40756.0</v>
      </c>
      <c r="B29" s="18">
        <v>20.0</v>
      </c>
      <c r="C29" s="19">
        <v>390.15</v>
      </c>
      <c r="D29" s="24">
        <f t="shared" si="1"/>
        <v>-0.117061</v>
      </c>
      <c r="E29" s="25">
        <f t="shared" si="2"/>
        <v>390.267061</v>
      </c>
      <c r="F29" s="22">
        <f t="shared" si="3"/>
        <v>0.117061</v>
      </c>
      <c r="G29" s="22">
        <f t="shared" si="4"/>
        <v>0.01370327772</v>
      </c>
      <c r="H29" s="22">
        <f t="shared" si="5"/>
        <v>-0.0003000410099</v>
      </c>
      <c r="I29" s="22">
        <f t="shared" si="6"/>
        <v>0.0003000410099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7">
        <v>40787.0</v>
      </c>
      <c r="B30" s="18">
        <v>21.0</v>
      </c>
      <c r="C30" s="19">
        <v>388.78</v>
      </c>
      <c r="D30" s="24">
        <f t="shared" si="1"/>
        <v>0.502231</v>
      </c>
      <c r="E30" s="25">
        <f t="shared" si="2"/>
        <v>388.277769</v>
      </c>
      <c r="F30" s="22">
        <f t="shared" si="3"/>
        <v>0.502231</v>
      </c>
      <c r="G30" s="22">
        <f t="shared" si="4"/>
        <v>0.2522359774</v>
      </c>
      <c r="H30" s="22">
        <f t="shared" si="5"/>
        <v>0.00129181285</v>
      </c>
      <c r="I30" s="22">
        <f t="shared" si="6"/>
        <v>0.00129181285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17">
        <v>40817.0</v>
      </c>
      <c r="B31" s="18">
        <v>22.0</v>
      </c>
      <c r="C31" s="19">
        <v>389.33</v>
      </c>
      <c r="D31" s="24">
        <f t="shared" si="1"/>
        <v>-0.244503</v>
      </c>
      <c r="E31" s="25">
        <f t="shared" si="2"/>
        <v>389.574503</v>
      </c>
      <c r="F31" s="22">
        <f t="shared" si="3"/>
        <v>0.244503</v>
      </c>
      <c r="G31" s="22">
        <f t="shared" si="4"/>
        <v>0.05978171701</v>
      </c>
      <c r="H31" s="22">
        <f t="shared" si="5"/>
        <v>-0.0006280096576</v>
      </c>
      <c r="I31" s="22">
        <f t="shared" si="6"/>
        <v>0.0006280096576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7">
        <v>40848.0</v>
      </c>
      <c r="B32" s="18">
        <v>23.0</v>
      </c>
      <c r="C32" s="19">
        <v>390.64</v>
      </c>
      <c r="D32" s="24">
        <f t="shared" si="1"/>
        <v>0.446041</v>
      </c>
      <c r="E32" s="25">
        <f t="shared" si="2"/>
        <v>390.193959</v>
      </c>
      <c r="F32" s="22">
        <f t="shared" si="3"/>
        <v>0.446041</v>
      </c>
      <c r="G32" s="22">
        <f t="shared" si="4"/>
        <v>0.1989525737</v>
      </c>
      <c r="H32" s="22">
        <f t="shared" si="5"/>
        <v>0.001141821114</v>
      </c>
      <c r="I32" s="22">
        <f t="shared" si="6"/>
        <v>0.001141821114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7">
        <v>40878.0</v>
      </c>
      <c r="B33" s="18">
        <v>24.0</v>
      </c>
      <c r="C33" s="19">
        <v>392.34</v>
      </c>
      <c r="D33" s="24">
        <f t="shared" si="1"/>
        <v>-0.010135</v>
      </c>
      <c r="E33" s="25">
        <f t="shared" si="2"/>
        <v>392.350135</v>
      </c>
      <c r="F33" s="22">
        <f t="shared" si="3"/>
        <v>0.010135</v>
      </c>
      <c r="G33" s="22">
        <f t="shared" si="4"/>
        <v>0.000102718225</v>
      </c>
      <c r="H33" s="22">
        <f t="shared" si="5"/>
        <v>-0.00002583218637</v>
      </c>
      <c r="I33" s="22">
        <f t="shared" si="6"/>
        <v>0.00002583218637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17">
        <v>40909.0</v>
      </c>
      <c r="B34" s="18">
        <v>25.0</v>
      </c>
      <c r="C34" s="19">
        <v>393.18</v>
      </c>
      <c r="D34" s="24">
        <f t="shared" si="1"/>
        <v>-0.711829</v>
      </c>
      <c r="E34" s="25">
        <f t="shared" si="2"/>
        <v>393.891829</v>
      </c>
      <c r="F34" s="22">
        <f t="shared" si="3"/>
        <v>0.711829</v>
      </c>
      <c r="G34" s="22">
        <f t="shared" si="4"/>
        <v>0.5067005252</v>
      </c>
      <c r="H34" s="22">
        <f t="shared" si="5"/>
        <v>-0.001810440511</v>
      </c>
      <c r="I34" s="22">
        <f t="shared" si="6"/>
        <v>0.001810440511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17">
        <v>40940.0</v>
      </c>
      <c r="B35" s="18">
        <v>26.0</v>
      </c>
      <c r="C35" s="19">
        <v>393.42</v>
      </c>
      <c r="D35" s="24">
        <f t="shared" si="1"/>
        <v>-0.006101</v>
      </c>
      <c r="E35" s="25">
        <f t="shared" si="2"/>
        <v>393.426101</v>
      </c>
      <c r="F35" s="22">
        <f t="shared" si="3"/>
        <v>0.006101</v>
      </c>
      <c r="G35" s="22">
        <f t="shared" si="4"/>
        <v>0.000037222201</v>
      </c>
      <c r="H35" s="22">
        <f t="shared" si="5"/>
        <v>-0.00001550760002</v>
      </c>
      <c r="I35" s="22">
        <f t="shared" si="6"/>
        <v>0.00001550760002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17">
        <v>40969.0</v>
      </c>
      <c r="B36" s="18">
        <v>27.0</v>
      </c>
      <c r="C36" s="19">
        <v>394.82</v>
      </c>
      <c r="D36" s="24">
        <f t="shared" si="1"/>
        <v>0.365902</v>
      </c>
      <c r="E36" s="25">
        <f t="shared" si="2"/>
        <v>394.454098</v>
      </c>
      <c r="F36" s="22">
        <f t="shared" si="3"/>
        <v>0.365902</v>
      </c>
      <c r="G36" s="22">
        <f t="shared" si="4"/>
        <v>0.1338842736</v>
      </c>
      <c r="H36" s="22">
        <f t="shared" si="5"/>
        <v>0.0009267564966</v>
      </c>
      <c r="I36" s="22">
        <f t="shared" si="6"/>
        <v>0.0009267564966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17">
        <v>41000.0</v>
      </c>
      <c r="B37" s="18">
        <v>28.0</v>
      </c>
      <c r="C37" s="19">
        <v>396.73</v>
      </c>
      <c r="D37" s="24">
        <f t="shared" si="1"/>
        <v>0.567961</v>
      </c>
      <c r="E37" s="25">
        <f t="shared" si="2"/>
        <v>396.162039</v>
      </c>
      <c r="F37" s="22">
        <f t="shared" si="3"/>
        <v>0.567961</v>
      </c>
      <c r="G37" s="22">
        <f t="shared" si="4"/>
        <v>0.3225796975</v>
      </c>
      <c r="H37" s="22">
        <f t="shared" si="5"/>
        <v>0.001431605878</v>
      </c>
      <c r="I37" s="22">
        <f t="shared" si="6"/>
        <v>0.001431605878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17">
        <v>41030.0</v>
      </c>
      <c r="B38" s="18">
        <v>29.0</v>
      </c>
      <c r="C38" s="19">
        <v>397.16</v>
      </c>
      <c r="D38" s="24">
        <f t="shared" si="1"/>
        <v>0.136492</v>
      </c>
      <c r="E38" s="25">
        <f t="shared" si="2"/>
        <v>397.023508</v>
      </c>
      <c r="F38" s="22">
        <f t="shared" si="3"/>
        <v>0.136492</v>
      </c>
      <c r="G38" s="22">
        <f t="shared" si="4"/>
        <v>0.01863006606</v>
      </c>
      <c r="H38" s="22">
        <f t="shared" si="5"/>
        <v>0.0003436700574</v>
      </c>
      <c r="I38" s="22">
        <f t="shared" si="6"/>
        <v>0.0003436700574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17">
        <v>41061.0</v>
      </c>
      <c r="B39" s="18">
        <v>30.0</v>
      </c>
      <c r="C39" s="19">
        <v>396.04</v>
      </c>
      <c r="D39" s="24">
        <f t="shared" si="1"/>
        <v>-0.0247749116</v>
      </c>
      <c r="E39" s="25">
        <f t="shared" si="2"/>
        <v>396.0647749</v>
      </c>
      <c r="F39" s="22">
        <f t="shared" si="3"/>
        <v>0.0247749116</v>
      </c>
      <c r="G39" s="22">
        <f t="shared" si="4"/>
        <v>0.0006137962448</v>
      </c>
      <c r="H39" s="22">
        <f t="shared" si="5"/>
        <v>-0.00006255658923</v>
      </c>
      <c r="I39" s="22">
        <f t="shared" si="6"/>
        <v>0.00006255658923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17">
        <v>41091.0</v>
      </c>
      <c r="B40" s="18">
        <v>31.0</v>
      </c>
      <c r="C40" s="19">
        <v>394.46</v>
      </c>
      <c r="D40" s="24">
        <f t="shared" si="1"/>
        <v>0.2207868808</v>
      </c>
      <c r="E40" s="25">
        <f t="shared" si="2"/>
        <v>394.2392131</v>
      </c>
      <c r="F40" s="22">
        <f t="shared" si="3"/>
        <v>0.2207868808</v>
      </c>
      <c r="G40" s="22">
        <f t="shared" si="4"/>
        <v>0.04874684673</v>
      </c>
      <c r="H40" s="22">
        <f t="shared" si="5"/>
        <v>0.0005597193145</v>
      </c>
      <c r="I40" s="22">
        <f t="shared" si="6"/>
        <v>0.0005597193145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17">
        <v>41122.0</v>
      </c>
      <c r="B41" s="18">
        <v>32.0</v>
      </c>
      <c r="C41" s="19">
        <v>392.41</v>
      </c>
      <c r="D41" s="24">
        <f t="shared" si="1"/>
        <v>0.1560292516</v>
      </c>
      <c r="E41" s="25">
        <f t="shared" si="2"/>
        <v>392.2539707</v>
      </c>
      <c r="F41" s="22">
        <f t="shared" si="3"/>
        <v>0.1560292516</v>
      </c>
      <c r="G41" s="22">
        <f t="shared" si="4"/>
        <v>0.02434512735</v>
      </c>
      <c r="H41" s="22">
        <f t="shared" si="5"/>
        <v>0.0003976179292</v>
      </c>
      <c r="I41" s="22">
        <f t="shared" si="6"/>
        <v>0.0003976179292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17">
        <v>41153.0</v>
      </c>
      <c r="B42" s="18">
        <v>33.0</v>
      </c>
      <c r="C42" s="19">
        <v>391.05</v>
      </c>
      <c r="D42" s="24">
        <f t="shared" si="1"/>
        <v>0.3401220964</v>
      </c>
      <c r="E42" s="25">
        <f t="shared" si="2"/>
        <v>390.7098779</v>
      </c>
      <c r="F42" s="22">
        <f t="shared" si="3"/>
        <v>0.3401220964</v>
      </c>
      <c r="G42" s="22">
        <f t="shared" si="4"/>
        <v>0.1156830405</v>
      </c>
      <c r="H42" s="22">
        <f t="shared" si="5"/>
        <v>0.0008697662611</v>
      </c>
      <c r="I42" s="22">
        <f t="shared" si="6"/>
        <v>0.0008697662611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17">
        <v>41183.0</v>
      </c>
      <c r="B43" s="18">
        <v>34.0</v>
      </c>
      <c r="C43" s="19">
        <v>391.31</v>
      </c>
      <c r="D43" s="24">
        <f t="shared" si="1"/>
        <v>-0.4895724532</v>
      </c>
      <c r="E43" s="25">
        <f t="shared" si="2"/>
        <v>391.7995725</v>
      </c>
      <c r="F43" s="22">
        <f t="shared" si="3"/>
        <v>0.4895724532</v>
      </c>
      <c r="G43" s="22">
        <f t="shared" si="4"/>
        <v>0.2396811869</v>
      </c>
      <c r="H43" s="22">
        <f t="shared" si="5"/>
        <v>-0.001251111531</v>
      </c>
      <c r="I43" s="22">
        <f t="shared" si="6"/>
        <v>0.001251111531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7">
        <v>41214.0</v>
      </c>
      <c r="B44" s="18">
        <v>35.0</v>
      </c>
      <c r="C44" s="19">
        <v>393.26</v>
      </c>
      <c r="D44" s="24">
        <f t="shared" si="1"/>
        <v>0.9823946604</v>
      </c>
      <c r="E44" s="25">
        <f t="shared" si="2"/>
        <v>392.2776053</v>
      </c>
      <c r="F44" s="22">
        <f t="shared" si="3"/>
        <v>0.9823946604</v>
      </c>
      <c r="G44" s="22">
        <f t="shared" si="4"/>
        <v>0.9650992688</v>
      </c>
      <c r="H44" s="22">
        <f t="shared" si="5"/>
        <v>0.002498079287</v>
      </c>
      <c r="I44" s="22">
        <f t="shared" si="6"/>
        <v>0.002498079287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17">
        <v>41244.0</v>
      </c>
      <c r="B45" s="18">
        <v>36.0</v>
      </c>
      <c r="C45" s="19">
        <v>394.84</v>
      </c>
      <c r="D45" s="24">
        <f t="shared" si="1"/>
        <v>-0.403793394</v>
      </c>
      <c r="E45" s="25">
        <f t="shared" si="2"/>
        <v>395.2437934</v>
      </c>
      <c r="F45" s="22">
        <f t="shared" si="3"/>
        <v>0.403793394</v>
      </c>
      <c r="G45" s="22">
        <f t="shared" si="4"/>
        <v>0.163049105</v>
      </c>
      <c r="H45" s="22">
        <f t="shared" si="5"/>
        <v>-0.001022676005</v>
      </c>
      <c r="I45" s="22">
        <f t="shared" si="6"/>
        <v>0.001022676005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17">
        <v>41275.0</v>
      </c>
      <c r="B46" s="18">
        <v>37.0</v>
      </c>
      <c r="C46" s="19">
        <v>395.85</v>
      </c>
      <c r="D46" s="24">
        <f t="shared" si="1"/>
        <v>0.1885774324</v>
      </c>
      <c r="E46" s="25">
        <f t="shared" si="2"/>
        <v>395.6614226</v>
      </c>
      <c r="F46" s="22">
        <f t="shared" si="3"/>
        <v>0.1885774324</v>
      </c>
      <c r="G46" s="22">
        <f t="shared" si="4"/>
        <v>0.03556144801</v>
      </c>
      <c r="H46" s="22">
        <f t="shared" si="5"/>
        <v>0.0004763860866</v>
      </c>
      <c r="I46" s="22">
        <f t="shared" si="6"/>
        <v>0.0004763860866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17">
        <v>41306.0</v>
      </c>
      <c r="B47" s="18">
        <v>38.0</v>
      </c>
      <c r="C47" s="19">
        <v>397.0</v>
      </c>
      <c r="D47" s="24">
        <f t="shared" si="1"/>
        <v>0.4624542756</v>
      </c>
      <c r="E47" s="25">
        <f t="shared" si="2"/>
        <v>396.5375457</v>
      </c>
      <c r="F47" s="22">
        <f t="shared" si="3"/>
        <v>0.4624542756</v>
      </c>
      <c r="G47" s="22">
        <f t="shared" si="4"/>
        <v>0.213863957</v>
      </c>
      <c r="H47" s="22">
        <f t="shared" si="5"/>
        <v>0.001164872231</v>
      </c>
      <c r="I47" s="22">
        <f t="shared" si="6"/>
        <v>0.001164872231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17">
        <v>41334.0</v>
      </c>
      <c r="B48" s="18">
        <v>39.0</v>
      </c>
      <c r="C48" s="19">
        <v>397.94</v>
      </c>
      <c r="D48" s="24">
        <f t="shared" si="1"/>
        <v>0.0662667288</v>
      </c>
      <c r="E48" s="25">
        <f t="shared" si="2"/>
        <v>397.8737333</v>
      </c>
      <c r="F48" s="22">
        <f t="shared" si="3"/>
        <v>0.0662667288</v>
      </c>
      <c r="G48" s="22">
        <f t="shared" si="4"/>
        <v>0.004391279346</v>
      </c>
      <c r="H48" s="22">
        <f t="shared" si="5"/>
        <v>0.0001665244228</v>
      </c>
      <c r="I48" s="22">
        <f t="shared" si="6"/>
        <v>0.0001665244228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17">
        <v>41365.0</v>
      </c>
      <c r="B49" s="18">
        <v>40.0</v>
      </c>
      <c r="C49" s="19">
        <v>398.9</v>
      </c>
      <c r="D49" s="24">
        <f t="shared" si="1"/>
        <v>0.3508747084</v>
      </c>
      <c r="E49" s="25">
        <f t="shared" si="2"/>
        <v>398.5491253</v>
      </c>
      <c r="F49" s="22">
        <f t="shared" si="3"/>
        <v>0.3508747084</v>
      </c>
      <c r="G49" s="22">
        <f t="shared" si="4"/>
        <v>0.123113061</v>
      </c>
      <c r="H49" s="22">
        <f t="shared" si="5"/>
        <v>0.0008796056866</v>
      </c>
      <c r="I49" s="22">
        <f t="shared" si="6"/>
        <v>0.0008796056866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17">
        <v>41395.0</v>
      </c>
      <c r="B50" s="18">
        <v>41.0</v>
      </c>
      <c r="C50" s="19">
        <v>399.81</v>
      </c>
      <c r="D50" s="24">
        <f t="shared" si="1"/>
        <v>0.3408335248</v>
      </c>
      <c r="E50" s="25">
        <f t="shared" si="2"/>
        <v>399.4691665</v>
      </c>
      <c r="F50" s="22">
        <f t="shared" si="3"/>
        <v>0.3408335248</v>
      </c>
      <c r="G50" s="22">
        <f t="shared" si="4"/>
        <v>0.1161674916</v>
      </c>
      <c r="H50" s="22">
        <f t="shared" si="5"/>
        <v>0.0008524887442</v>
      </c>
      <c r="I50" s="22">
        <f t="shared" si="6"/>
        <v>0.0008524887442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7">
        <v>41426.0</v>
      </c>
      <c r="B51" s="18">
        <v>42.0</v>
      </c>
      <c r="C51" s="19">
        <v>399.35</v>
      </c>
      <c r="D51" s="24">
        <f t="shared" si="1"/>
        <v>0.2345260682</v>
      </c>
      <c r="E51" s="25">
        <f t="shared" si="2"/>
        <v>399.1154739</v>
      </c>
      <c r="F51" s="22">
        <f t="shared" si="3"/>
        <v>0.2345260682</v>
      </c>
      <c r="G51" s="22">
        <f t="shared" si="4"/>
        <v>0.05500247666</v>
      </c>
      <c r="H51" s="22">
        <f t="shared" si="5"/>
        <v>0.0005872694834</v>
      </c>
      <c r="I51" s="22">
        <f t="shared" si="6"/>
        <v>0.0005872694834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17">
        <v>41456.0</v>
      </c>
      <c r="B52" s="18">
        <v>43.0</v>
      </c>
      <c r="C52" s="19">
        <v>397.39</v>
      </c>
      <c r="D52" s="24">
        <f t="shared" si="1"/>
        <v>0.05281191738</v>
      </c>
      <c r="E52" s="25">
        <f t="shared" si="2"/>
        <v>397.3371881</v>
      </c>
      <c r="F52" s="22">
        <f t="shared" si="3"/>
        <v>0.05281191738</v>
      </c>
      <c r="G52" s="22">
        <f t="shared" si="4"/>
        <v>0.002789098617</v>
      </c>
      <c r="H52" s="22">
        <f t="shared" si="5"/>
        <v>0.000132896946</v>
      </c>
      <c r="I52" s="22">
        <f t="shared" si="6"/>
        <v>0.000132896946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17">
        <v>41487.0</v>
      </c>
      <c r="B53" s="18">
        <v>44.0</v>
      </c>
      <c r="C53" s="19">
        <v>395.21</v>
      </c>
      <c r="D53" s="24">
        <f t="shared" si="1"/>
        <v>0.1161932701</v>
      </c>
      <c r="E53" s="25">
        <f t="shared" si="2"/>
        <v>395.0938067</v>
      </c>
      <c r="F53" s="22">
        <f t="shared" si="3"/>
        <v>0.1161932701</v>
      </c>
      <c r="G53" s="22">
        <f t="shared" si="4"/>
        <v>0.01350087602</v>
      </c>
      <c r="H53" s="22">
        <f t="shared" si="5"/>
        <v>0.0002940038717</v>
      </c>
      <c r="I53" s="22">
        <f t="shared" si="6"/>
        <v>0.0002940038717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17">
        <v>41518.0</v>
      </c>
      <c r="B54" s="18">
        <v>45.0</v>
      </c>
      <c r="C54" s="19">
        <v>393.92</v>
      </c>
      <c r="D54" s="24">
        <f t="shared" si="1"/>
        <v>0.1453069821</v>
      </c>
      <c r="E54" s="25">
        <f t="shared" si="2"/>
        <v>393.774693</v>
      </c>
      <c r="F54" s="22">
        <f t="shared" si="3"/>
        <v>0.1453069821</v>
      </c>
      <c r="G54" s="22">
        <f t="shared" si="4"/>
        <v>0.02111411903</v>
      </c>
      <c r="H54" s="22">
        <f t="shared" si="5"/>
        <v>0.0003688743452</v>
      </c>
      <c r="I54" s="22">
        <f t="shared" si="6"/>
        <v>0.0003688743452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17">
        <v>41548.0</v>
      </c>
      <c r="B55" s="18">
        <v>46.0</v>
      </c>
      <c r="C55" s="19">
        <v>394.06</v>
      </c>
      <c r="D55" s="24">
        <f t="shared" si="1"/>
        <v>-0.2850328776</v>
      </c>
      <c r="E55" s="25">
        <f t="shared" si="2"/>
        <v>394.3450329</v>
      </c>
      <c r="F55" s="22">
        <f t="shared" si="3"/>
        <v>0.2850328776</v>
      </c>
      <c r="G55" s="22">
        <f t="shared" si="4"/>
        <v>0.08124374132</v>
      </c>
      <c r="H55" s="22">
        <f t="shared" si="5"/>
        <v>-0.0007233235487</v>
      </c>
      <c r="I55" s="22">
        <f t="shared" si="6"/>
        <v>0.0007233235487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17">
        <v>41579.0</v>
      </c>
      <c r="B56" s="18">
        <v>47.0</v>
      </c>
      <c r="C56" s="19">
        <v>395.64</v>
      </c>
      <c r="D56" s="24">
        <f t="shared" si="1"/>
        <v>0.4504518377</v>
      </c>
      <c r="E56" s="25">
        <f t="shared" si="2"/>
        <v>395.1895482</v>
      </c>
      <c r="F56" s="22">
        <f t="shared" si="3"/>
        <v>0.4504518377</v>
      </c>
      <c r="G56" s="22">
        <f t="shared" si="4"/>
        <v>0.202906858</v>
      </c>
      <c r="H56" s="22">
        <f t="shared" si="5"/>
        <v>0.001138539677</v>
      </c>
      <c r="I56" s="22">
        <f t="shared" si="6"/>
        <v>0.001138539677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17">
        <v>41609.0</v>
      </c>
      <c r="B57" s="18">
        <v>48.0</v>
      </c>
      <c r="C57" s="19">
        <v>397.24</v>
      </c>
      <c r="D57" s="24">
        <f t="shared" si="1"/>
        <v>-0.4077788777</v>
      </c>
      <c r="E57" s="25">
        <f t="shared" si="2"/>
        <v>397.6477789</v>
      </c>
      <c r="F57" s="22">
        <f t="shared" si="3"/>
        <v>0.4077788777</v>
      </c>
      <c r="G57" s="22">
        <f t="shared" si="4"/>
        <v>0.1662836131</v>
      </c>
      <c r="H57" s="22">
        <f t="shared" si="5"/>
        <v>-0.001026530253</v>
      </c>
      <c r="I57" s="22">
        <f t="shared" si="6"/>
        <v>0.001026530253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17">
        <v>41640.0</v>
      </c>
      <c r="B58" s="18">
        <v>49.0</v>
      </c>
      <c r="C58" s="19">
        <v>398.12</v>
      </c>
      <c r="D58" s="24">
        <f t="shared" si="1"/>
        <v>-0.2172271188</v>
      </c>
      <c r="E58" s="25">
        <f t="shared" si="2"/>
        <v>398.3372271</v>
      </c>
      <c r="F58" s="22">
        <f t="shared" si="3"/>
        <v>0.2172271188</v>
      </c>
      <c r="G58" s="22">
        <f t="shared" si="4"/>
        <v>0.04718762114</v>
      </c>
      <c r="H58" s="22">
        <f t="shared" si="5"/>
        <v>-0.0005456322686</v>
      </c>
      <c r="I58" s="22">
        <f t="shared" si="6"/>
        <v>0.0005456322686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17">
        <v>41671.0</v>
      </c>
      <c r="B59" s="18">
        <v>50.0</v>
      </c>
      <c r="C59" s="19">
        <v>398.55</v>
      </c>
      <c r="D59" s="24">
        <f t="shared" si="1"/>
        <v>-0.2194464387</v>
      </c>
      <c r="E59" s="25">
        <f t="shared" si="2"/>
        <v>398.7694464</v>
      </c>
      <c r="F59" s="22">
        <f t="shared" si="3"/>
        <v>0.2194464387</v>
      </c>
      <c r="G59" s="22">
        <f t="shared" si="4"/>
        <v>0.04815673944</v>
      </c>
      <c r="H59" s="22">
        <f t="shared" si="5"/>
        <v>-0.0005506120654</v>
      </c>
      <c r="I59" s="22">
        <f t="shared" si="6"/>
        <v>0.0005506120654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17">
        <v>41699.0</v>
      </c>
      <c r="B60" s="18">
        <v>51.0</v>
      </c>
      <c r="C60" s="19">
        <v>399.98</v>
      </c>
      <c r="D60" s="24">
        <f t="shared" si="1"/>
        <v>0.473211295</v>
      </c>
      <c r="E60" s="25">
        <f t="shared" si="2"/>
        <v>399.5067887</v>
      </c>
      <c r="F60" s="22">
        <f t="shared" si="3"/>
        <v>0.473211295</v>
      </c>
      <c r="G60" s="22">
        <f t="shared" si="4"/>
        <v>0.2239289297</v>
      </c>
      <c r="H60" s="22">
        <f t="shared" si="5"/>
        <v>0.001183087392</v>
      </c>
      <c r="I60" s="22">
        <f t="shared" si="6"/>
        <v>0.001183087392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17">
        <v>41730.0</v>
      </c>
      <c r="B61" s="18">
        <v>52.0</v>
      </c>
      <c r="C61" s="19">
        <v>401.86</v>
      </c>
      <c r="D61" s="24">
        <f t="shared" si="1"/>
        <v>0.5265685921</v>
      </c>
      <c r="E61" s="25">
        <f t="shared" si="2"/>
        <v>401.3334314</v>
      </c>
      <c r="F61" s="22">
        <f t="shared" si="3"/>
        <v>0.5265685921</v>
      </c>
      <c r="G61" s="22">
        <f t="shared" si="4"/>
        <v>0.2772744822</v>
      </c>
      <c r="H61" s="22">
        <f t="shared" si="5"/>
        <v>0.001310328453</v>
      </c>
      <c r="I61" s="22">
        <f t="shared" si="6"/>
        <v>0.001310328453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17">
        <v>41760.0</v>
      </c>
      <c r="B62" s="18">
        <v>53.0</v>
      </c>
      <c r="C62" s="19">
        <v>402.45</v>
      </c>
      <c r="D62" s="24">
        <f t="shared" si="1"/>
        <v>0.2461221693</v>
      </c>
      <c r="E62" s="25">
        <f t="shared" si="2"/>
        <v>402.2038778</v>
      </c>
      <c r="F62" s="22">
        <f t="shared" si="3"/>
        <v>0.2461221693</v>
      </c>
      <c r="G62" s="22">
        <f t="shared" si="4"/>
        <v>0.06057612224</v>
      </c>
      <c r="H62" s="22">
        <f t="shared" si="5"/>
        <v>0.0006115596207</v>
      </c>
      <c r="I62" s="22">
        <f t="shared" si="6"/>
        <v>0.0006115596207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17">
        <v>41791.0</v>
      </c>
      <c r="B63" s="18">
        <v>54.0</v>
      </c>
      <c r="C63" s="19">
        <v>401.6</v>
      </c>
      <c r="D63" s="24">
        <f t="shared" si="1"/>
        <v>0.2291708547</v>
      </c>
      <c r="E63" s="25">
        <f t="shared" si="2"/>
        <v>401.3708291</v>
      </c>
      <c r="F63" s="22">
        <f t="shared" si="3"/>
        <v>0.2291708547</v>
      </c>
      <c r="G63" s="22">
        <f t="shared" si="4"/>
        <v>0.05251928064</v>
      </c>
      <c r="H63" s="22">
        <f t="shared" si="5"/>
        <v>0.0005706445585</v>
      </c>
      <c r="I63" s="22">
        <f t="shared" si="6"/>
        <v>0.0005706445585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17">
        <v>41821.0</v>
      </c>
      <c r="B64" s="18">
        <v>55.0</v>
      </c>
      <c r="C64" s="19">
        <v>399.17</v>
      </c>
      <c r="D64" s="24">
        <f t="shared" si="1"/>
        <v>-0.5835291403</v>
      </c>
      <c r="E64" s="25">
        <f t="shared" si="2"/>
        <v>399.7535291</v>
      </c>
      <c r="F64" s="22">
        <f t="shared" si="3"/>
        <v>0.5835291403</v>
      </c>
      <c r="G64" s="22">
        <f t="shared" si="4"/>
        <v>0.3405062575</v>
      </c>
      <c r="H64" s="22">
        <f t="shared" si="5"/>
        <v>-0.001461856202</v>
      </c>
      <c r="I64" s="22">
        <f t="shared" si="6"/>
        <v>0.001461856202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17">
        <v>41852.0</v>
      </c>
      <c r="B65" s="18">
        <v>56.0</v>
      </c>
      <c r="C65" s="19">
        <v>396.74</v>
      </c>
      <c r="D65" s="24">
        <f t="shared" si="1"/>
        <v>0.1630423281</v>
      </c>
      <c r="E65" s="25">
        <f t="shared" si="2"/>
        <v>396.5769577</v>
      </c>
      <c r="F65" s="22">
        <f t="shared" si="3"/>
        <v>0.1630423281</v>
      </c>
      <c r="G65" s="22">
        <f t="shared" si="4"/>
        <v>0.02658280075</v>
      </c>
      <c r="H65" s="22">
        <f t="shared" si="5"/>
        <v>0.0004109551043</v>
      </c>
      <c r="I65" s="22">
        <f t="shared" si="6"/>
        <v>0.0004109551043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17">
        <v>41883.0</v>
      </c>
      <c r="B66" s="18">
        <v>57.0</v>
      </c>
      <c r="C66" s="19">
        <v>395.56</v>
      </c>
      <c r="D66" s="24">
        <f t="shared" si="1"/>
        <v>-0.1327315051</v>
      </c>
      <c r="E66" s="25">
        <f t="shared" si="2"/>
        <v>395.6927315</v>
      </c>
      <c r="F66" s="22">
        <f t="shared" si="3"/>
        <v>0.1327315051</v>
      </c>
      <c r="G66" s="22">
        <f t="shared" si="4"/>
        <v>0.01761765244</v>
      </c>
      <c r="H66" s="22">
        <f t="shared" si="5"/>
        <v>-0.0003355534055</v>
      </c>
      <c r="I66" s="22">
        <f t="shared" si="6"/>
        <v>0.0003355534055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17">
        <v>41913.0</v>
      </c>
      <c r="B67" s="18">
        <v>58.0</v>
      </c>
      <c r="C67" s="19">
        <v>395.89</v>
      </c>
      <c r="D67" s="24">
        <f t="shared" si="1"/>
        <v>-0.365097077</v>
      </c>
      <c r="E67" s="25">
        <f t="shared" si="2"/>
        <v>396.2550971</v>
      </c>
      <c r="F67" s="22">
        <f t="shared" si="3"/>
        <v>0.365097077</v>
      </c>
      <c r="G67" s="22">
        <f t="shared" si="4"/>
        <v>0.1332958756</v>
      </c>
      <c r="H67" s="22">
        <f t="shared" si="5"/>
        <v>-0.0009222184874</v>
      </c>
      <c r="I67" s="22">
        <f t="shared" si="6"/>
        <v>0.0009222184874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17">
        <v>41944.0</v>
      </c>
      <c r="B68" s="18">
        <v>59.0</v>
      </c>
      <c r="C68" s="19">
        <v>397.73</v>
      </c>
      <c r="D68" s="24">
        <f t="shared" si="1"/>
        <v>0.5425736052</v>
      </c>
      <c r="E68" s="25">
        <f t="shared" si="2"/>
        <v>397.1874264</v>
      </c>
      <c r="F68" s="22">
        <f t="shared" si="3"/>
        <v>0.5425736052</v>
      </c>
      <c r="G68" s="22">
        <f t="shared" si="4"/>
        <v>0.2943861171</v>
      </c>
      <c r="H68" s="22">
        <f t="shared" si="5"/>
        <v>0.00136417571</v>
      </c>
      <c r="I68" s="22">
        <f t="shared" si="6"/>
        <v>0.00136417571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17">
        <v>41974.0</v>
      </c>
      <c r="B69" s="18">
        <v>60.0</v>
      </c>
      <c r="C69" s="19">
        <v>399.49</v>
      </c>
      <c r="D69" s="24">
        <f t="shared" si="1"/>
        <v>-0.2584966394</v>
      </c>
      <c r="E69" s="25">
        <f t="shared" si="2"/>
        <v>399.7484966</v>
      </c>
      <c r="F69" s="22">
        <f t="shared" si="3"/>
        <v>0.2584966394</v>
      </c>
      <c r="G69" s="22">
        <f t="shared" si="4"/>
        <v>0.06682051258</v>
      </c>
      <c r="H69" s="22">
        <f t="shared" si="5"/>
        <v>-0.0006470666084</v>
      </c>
      <c r="I69" s="22">
        <f t="shared" si="6"/>
        <v>0.0006470666084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17">
        <v>42005.0</v>
      </c>
      <c r="B70" s="18">
        <v>61.0</v>
      </c>
      <c r="C70" s="19">
        <v>400.29</v>
      </c>
      <c r="D70" s="24">
        <f t="shared" si="1"/>
        <v>-0.09732266385</v>
      </c>
      <c r="E70" s="25">
        <f t="shared" si="2"/>
        <v>400.3873227</v>
      </c>
      <c r="F70" s="22">
        <f t="shared" si="3"/>
        <v>0.09732266385</v>
      </c>
      <c r="G70" s="22">
        <f t="shared" si="4"/>
        <v>0.0094717009</v>
      </c>
      <c r="H70" s="22">
        <f t="shared" si="5"/>
        <v>-0.0002431303901</v>
      </c>
      <c r="I70" s="22">
        <f t="shared" si="6"/>
        <v>0.0002431303901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17">
        <v>42036.0</v>
      </c>
      <c r="B71" s="18">
        <v>62.0</v>
      </c>
      <c r="C71" s="19">
        <v>400.62</v>
      </c>
      <c r="D71" s="24">
        <f t="shared" si="1"/>
        <v>-0.1145214304</v>
      </c>
      <c r="E71" s="25">
        <f t="shared" si="2"/>
        <v>400.7345214</v>
      </c>
      <c r="F71" s="22">
        <f t="shared" si="3"/>
        <v>0.1145214304</v>
      </c>
      <c r="G71" s="22">
        <f t="shared" si="4"/>
        <v>0.01311515801</v>
      </c>
      <c r="H71" s="22">
        <f t="shared" si="5"/>
        <v>-0.0002858604921</v>
      </c>
      <c r="I71" s="22">
        <f t="shared" si="6"/>
        <v>0.0002858604921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17">
        <v>42064.0</v>
      </c>
      <c r="B72" s="18">
        <v>63.0</v>
      </c>
      <c r="C72" s="19">
        <v>401.82</v>
      </c>
      <c r="D72" s="24">
        <f t="shared" si="1"/>
        <v>0.2296320693</v>
      </c>
      <c r="E72" s="25">
        <f t="shared" si="2"/>
        <v>401.5903679</v>
      </c>
      <c r="F72" s="22">
        <f t="shared" si="3"/>
        <v>0.2296320693</v>
      </c>
      <c r="G72" s="22">
        <f t="shared" si="4"/>
        <v>0.05273088723</v>
      </c>
      <c r="H72" s="22">
        <f t="shared" si="5"/>
        <v>0.0005714799394</v>
      </c>
      <c r="I72" s="22">
        <f t="shared" si="6"/>
        <v>0.0005714799394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17">
        <v>42095.0</v>
      </c>
      <c r="B73" s="18">
        <v>64.0</v>
      </c>
      <c r="C73" s="19">
        <v>403.91</v>
      </c>
      <c r="D73" s="24">
        <f t="shared" si="1"/>
        <v>0.7516142629</v>
      </c>
      <c r="E73" s="25">
        <f t="shared" si="2"/>
        <v>403.1583857</v>
      </c>
      <c r="F73" s="22">
        <f t="shared" si="3"/>
        <v>0.7516142629</v>
      </c>
      <c r="G73" s="22">
        <f t="shared" si="4"/>
        <v>0.5649240001</v>
      </c>
      <c r="H73" s="22">
        <f t="shared" si="5"/>
        <v>0.001860845889</v>
      </c>
      <c r="I73" s="22">
        <f t="shared" si="6"/>
        <v>0.001860845889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17">
        <v>42125.0</v>
      </c>
      <c r="B74" s="18">
        <v>65.0</v>
      </c>
      <c r="C74" s="19">
        <v>404.37</v>
      </c>
      <c r="D74" s="24">
        <f t="shared" si="1"/>
        <v>-0.1776165534</v>
      </c>
      <c r="E74" s="25">
        <f t="shared" si="2"/>
        <v>404.5476166</v>
      </c>
      <c r="F74" s="22">
        <f t="shared" si="3"/>
        <v>0.1776165534</v>
      </c>
      <c r="G74" s="22">
        <f t="shared" si="4"/>
        <v>0.03154764006</v>
      </c>
      <c r="H74" s="22">
        <f t="shared" si="5"/>
        <v>-0.0004392426576</v>
      </c>
      <c r="I74" s="22">
        <f t="shared" si="6"/>
        <v>0.0004392426576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17">
        <v>42156.0</v>
      </c>
      <c r="B75" s="18">
        <v>66.0</v>
      </c>
      <c r="C75" s="19">
        <v>403.13</v>
      </c>
      <c r="D75" s="24">
        <f t="shared" si="1"/>
        <v>0.0378117039</v>
      </c>
      <c r="E75" s="25">
        <f t="shared" si="2"/>
        <v>403.0921883</v>
      </c>
      <c r="F75" s="22">
        <f t="shared" si="3"/>
        <v>0.0378117039</v>
      </c>
      <c r="G75" s="22">
        <f t="shared" si="4"/>
        <v>0.001429724952</v>
      </c>
      <c r="H75" s="22">
        <f t="shared" si="5"/>
        <v>0.00009379531143</v>
      </c>
      <c r="I75" s="22">
        <f t="shared" si="6"/>
        <v>0.00009379531143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17">
        <v>42186.0</v>
      </c>
      <c r="B76" s="18">
        <v>67.0</v>
      </c>
      <c r="C76" s="19">
        <v>401.16</v>
      </c>
      <c r="D76" s="24">
        <f t="shared" si="1"/>
        <v>-0.2100571717</v>
      </c>
      <c r="E76" s="25">
        <f t="shared" si="2"/>
        <v>401.3700572</v>
      </c>
      <c r="F76" s="22">
        <f t="shared" si="3"/>
        <v>0.2100571717</v>
      </c>
      <c r="G76" s="22">
        <f t="shared" si="4"/>
        <v>0.04412401536</v>
      </c>
      <c r="H76" s="22">
        <f t="shared" si="5"/>
        <v>-0.0005236244183</v>
      </c>
      <c r="I76" s="22">
        <f t="shared" si="6"/>
        <v>0.0005236244183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17">
        <v>42217.0</v>
      </c>
      <c r="B77" s="18">
        <v>68.0</v>
      </c>
      <c r="C77" s="19">
        <v>399.14</v>
      </c>
      <c r="D77" s="24">
        <f t="shared" si="1"/>
        <v>0.222871635</v>
      </c>
      <c r="E77" s="25">
        <f t="shared" si="2"/>
        <v>398.9171284</v>
      </c>
      <c r="F77" s="22">
        <f t="shared" si="3"/>
        <v>0.222871635</v>
      </c>
      <c r="G77" s="22">
        <f t="shared" si="4"/>
        <v>0.04967176567</v>
      </c>
      <c r="H77" s="22">
        <f t="shared" si="5"/>
        <v>0.0005583796036</v>
      </c>
      <c r="I77" s="22">
        <f t="shared" si="6"/>
        <v>0.0005583796036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17">
        <v>42248.0</v>
      </c>
      <c r="B78" s="18">
        <v>69.0</v>
      </c>
      <c r="C78" s="19">
        <v>397.89</v>
      </c>
      <c r="D78" s="24">
        <f t="shared" si="1"/>
        <v>0.1173542569</v>
      </c>
      <c r="E78" s="25">
        <f t="shared" si="2"/>
        <v>397.7726457</v>
      </c>
      <c r="F78" s="22">
        <f t="shared" si="3"/>
        <v>0.1173542569</v>
      </c>
      <c r="G78" s="22">
        <f t="shared" si="4"/>
        <v>0.01377202162</v>
      </c>
      <c r="H78" s="22">
        <f t="shared" si="5"/>
        <v>0.0002949414585</v>
      </c>
      <c r="I78" s="22">
        <f t="shared" si="6"/>
        <v>0.0002949414585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17">
        <v>42278.0</v>
      </c>
      <c r="B79" s="18">
        <v>70.0</v>
      </c>
      <c r="C79" s="19">
        <v>398.46</v>
      </c>
      <c r="D79" s="24">
        <f t="shared" si="1"/>
        <v>-0.01227985486</v>
      </c>
      <c r="E79" s="25">
        <f t="shared" si="2"/>
        <v>398.4722799</v>
      </c>
      <c r="F79" s="22">
        <f t="shared" si="3"/>
        <v>0.01227985486</v>
      </c>
      <c r="G79" s="22">
        <f t="shared" si="4"/>
        <v>0.0001507948354</v>
      </c>
      <c r="H79" s="22">
        <f t="shared" si="5"/>
        <v>-0.00003081828756</v>
      </c>
      <c r="I79" s="22">
        <f t="shared" si="6"/>
        <v>0.00003081828756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17">
        <v>42309.0</v>
      </c>
      <c r="B80" s="18">
        <v>71.0</v>
      </c>
      <c r="C80" s="19">
        <v>400.19</v>
      </c>
      <c r="D80" s="24">
        <f t="shared" si="1"/>
        <v>0.3504260965</v>
      </c>
      <c r="E80" s="25">
        <f t="shared" si="2"/>
        <v>399.8395739</v>
      </c>
      <c r="F80" s="22">
        <f t="shared" si="3"/>
        <v>0.3504260965</v>
      </c>
      <c r="G80" s="22">
        <f t="shared" si="4"/>
        <v>0.1227984491</v>
      </c>
      <c r="H80" s="22">
        <f t="shared" si="5"/>
        <v>0.0008756493077</v>
      </c>
      <c r="I80" s="22">
        <f t="shared" si="6"/>
        <v>0.0008756493077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17">
        <v>42339.0</v>
      </c>
      <c r="B81" s="18">
        <v>72.0</v>
      </c>
      <c r="C81" s="19">
        <v>401.76</v>
      </c>
      <c r="D81" s="24">
        <f t="shared" si="1"/>
        <v>0.01974957212</v>
      </c>
      <c r="E81" s="25">
        <f t="shared" si="2"/>
        <v>401.7402504</v>
      </c>
      <c r="F81" s="22">
        <f t="shared" si="3"/>
        <v>0.01974957212</v>
      </c>
      <c r="G81" s="22">
        <f t="shared" si="4"/>
        <v>0.0003900455988</v>
      </c>
      <c r="H81" s="22">
        <f t="shared" si="5"/>
        <v>0.00004915763669</v>
      </c>
      <c r="I81" s="22">
        <f t="shared" si="6"/>
        <v>0.00004915763669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17">
        <v>42370.0</v>
      </c>
      <c r="B82" s="18">
        <v>73.0</v>
      </c>
      <c r="C82" s="19">
        <v>402.95</v>
      </c>
      <c r="D82" s="24">
        <f t="shared" si="1"/>
        <v>0.1747438361</v>
      </c>
      <c r="E82" s="25">
        <f t="shared" si="2"/>
        <v>402.7752562</v>
      </c>
      <c r="F82" s="22">
        <f t="shared" si="3"/>
        <v>0.1747438361</v>
      </c>
      <c r="G82" s="22">
        <f t="shared" si="4"/>
        <v>0.03053540825</v>
      </c>
      <c r="H82" s="22">
        <f t="shared" si="5"/>
        <v>0.0004336613379</v>
      </c>
      <c r="I82" s="22">
        <f t="shared" si="6"/>
        <v>0.0004336613379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17">
        <v>42401.0</v>
      </c>
      <c r="B83" s="18">
        <v>74.0</v>
      </c>
      <c r="C83" s="19">
        <v>403.86</v>
      </c>
      <c r="D83" s="24">
        <f t="shared" si="1"/>
        <v>0.344076247</v>
      </c>
      <c r="E83" s="25">
        <f t="shared" si="2"/>
        <v>403.5159238</v>
      </c>
      <c r="F83" s="22">
        <f t="shared" si="3"/>
        <v>0.344076247</v>
      </c>
      <c r="G83" s="22">
        <f t="shared" si="4"/>
        <v>0.1183884637</v>
      </c>
      <c r="H83" s="22">
        <f t="shared" si="5"/>
        <v>0.0008519691155</v>
      </c>
      <c r="I83" s="22">
        <f t="shared" si="6"/>
        <v>0.0008519691155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17">
        <v>42430.0</v>
      </c>
      <c r="B84" s="18">
        <v>75.0</v>
      </c>
      <c r="C84" s="19">
        <v>405.46</v>
      </c>
      <c r="D84" s="24">
        <f t="shared" si="1"/>
        <v>0.759319602</v>
      </c>
      <c r="E84" s="25">
        <f t="shared" si="2"/>
        <v>404.7006804</v>
      </c>
      <c r="F84" s="22">
        <f t="shared" si="3"/>
        <v>0.759319602</v>
      </c>
      <c r="G84" s="22">
        <f t="shared" si="4"/>
        <v>0.5765662581</v>
      </c>
      <c r="H84" s="22">
        <f t="shared" si="5"/>
        <v>0.001872736157</v>
      </c>
      <c r="I84" s="22">
        <f t="shared" si="6"/>
        <v>0.001872736157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17">
        <v>42461.0</v>
      </c>
      <c r="B85" s="18">
        <v>76.0</v>
      </c>
      <c r="C85" s="19">
        <v>407.58</v>
      </c>
      <c r="D85" s="24">
        <f t="shared" si="1"/>
        <v>0.8810946541</v>
      </c>
      <c r="E85" s="25">
        <f t="shared" si="2"/>
        <v>406.6989053</v>
      </c>
      <c r="F85" s="22">
        <f t="shared" si="3"/>
        <v>0.8810946541</v>
      </c>
      <c r="G85" s="22">
        <f t="shared" si="4"/>
        <v>0.7763277894</v>
      </c>
      <c r="H85" s="22">
        <f t="shared" si="5"/>
        <v>0.002161771073</v>
      </c>
      <c r="I85" s="22">
        <f t="shared" si="6"/>
        <v>0.002161771073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17">
        <v>42491.0</v>
      </c>
      <c r="B86" s="18">
        <v>77.0</v>
      </c>
      <c r="C86" s="19">
        <v>408.12</v>
      </c>
      <c r="D86" s="24">
        <f t="shared" si="1"/>
        <v>0.2838039201</v>
      </c>
      <c r="E86" s="25">
        <f t="shared" si="2"/>
        <v>407.8361961</v>
      </c>
      <c r="F86" s="22">
        <f t="shared" si="3"/>
        <v>0.2838039201</v>
      </c>
      <c r="G86" s="22">
        <f t="shared" si="4"/>
        <v>0.08054466508</v>
      </c>
      <c r="H86" s="22">
        <f t="shared" si="5"/>
        <v>0.000695393316</v>
      </c>
      <c r="I86" s="22">
        <f t="shared" si="6"/>
        <v>0.000695393316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17">
        <v>42522.0</v>
      </c>
      <c r="B87" s="18">
        <v>78.0</v>
      </c>
      <c r="C87" s="19">
        <v>406.82</v>
      </c>
      <c r="D87" s="24">
        <f t="shared" si="1"/>
        <v>0.1415986709</v>
      </c>
      <c r="E87" s="25">
        <f t="shared" si="2"/>
        <v>406.6784013</v>
      </c>
      <c r="F87" s="22">
        <f t="shared" si="3"/>
        <v>0.1415986709</v>
      </c>
      <c r="G87" s="22">
        <f t="shared" si="4"/>
        <v>0.02005018361</v>
      </c>
      <c r="H87" s="22">
        <f t="shared" si="5"/>
        <v>0.0003480622165</v>
      </c>
      <c r="I87" s="22">
        <f t="shared" si="6"/>
        <v>0.0003480622165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17">
        <v>42552.0</v>
      </c>
      <c r="B88" s="18">
        <v>79.0</v>
      </c>
      <c r="C88" s="19">
        <v>404.6</v>
      </c>
      <c r="D88" s="24">
        <f t="shared" si="1"/>
        <v>-0.1755125626</v>
      </c>
      <c r="E88" s="25">
        <f t="shared" si="2"/>
        <v>404.7755126</v>
      </c>
      <c r="F88" s="22">
        <f t="shared" si="3"/>
        <v>0.1755125626</v>
      </c>
      <c r="G88" s="22">
        <f t="shared" si="4"/>
        <v>0.03080465963</v>
      </c>
      <c r="H88" s="22">
        <f t="shared" si="5"/>
        <v>-0.0004337927894</v>
      </c>
      <c r="I88" s="22">
        <f t="shared" si="6"/>
        <v>0.0004337927894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17">
        <v>42583.0</v>
      </c>
      <c r="B89" s="18">
        <v>80.0</v>
      </c>
      <c r="C89" s="19">
        <v>401.91</v>
      </c>
      <c r="D89" s="24">
        <f t="shared" si="1"/>
        <v>-0.457108326</v>
      </c>
      <c r="E89" s="25">
        <f t="shared" si="2"/>
        <v>402.3671083</v>
      </c>
      <c r="F89" s="22">
        <f t="shared" si="3"/>
        <v>0.457108326</v>
      </c>
      <c r="G89" s="22">
        <f t="shared" si="4"/>
        <v>0.2089480217</v>
      </c>
      <c r="H89" s="22">
        <f t="shared" si="5"/>
        <v>-0.001137340017</v>
      </c>
      <c r="I89" s="22">
        <f t="shared" si="6"/>
        <v>0.001137340017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17">
        <v>42614.0</v>
      </c>
      <c r="B90" s="18">
        <v>81.0</v>
      </c>
      <c r="C90" s="19">
        <v>400.44</v>
      </c>
      <c r="D90" s="24">
        <f t="shared" si="1"/>
        <v>-0.08049889518</v>
      </c>
      <c r="E90" s="25">
        <f t="shared" si="2"/>
        <v>400.5204989</v>
      </c>
      <c r="F90" s="22">
        <f t="shared" si="3"/>
        <v>0.08049889518</v>
      </c>
      <c r="G90" s="22">
        <f t="shared" si="4"/>
        <v>0.006480072126</v>
      </c>
      <c r="H90" s="22">
        <f t="shared" si="5"/>
        <v>-0.0002010261092</v>
      </c>
      <c r="I90" s="22">
        <f t="shared" si="6"/>
        <v>0.0002010261092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17">
        <v>42644.0</v>
      </c>
      <c r="B91" s="18">
        <v>82.0</v>
      </c>
      <c r="C91" s="19">
        <v>401.69</v>
      </c>
      <c r="D91" s="24">
        <f t="shared" si="1"/>
        <v>0.2058156964</v>
      </c>
      <c r="E91" s="25">
        <f t="shared" si="2"/>
        <v>401.4841843</v>
      </c>
      <c r="F91" s="22">
        <f t="shared" si="3"/>
        <v>0.2058156964</v>
      </c>
      <c r="G91" s="22">
        <f t="shared" si="4"/>
        <v>0.04236010087</v>
      </c>
      <c r="H91" s="22">
        <f t="shared" si="5"/>
        <v>0.0005123744588</v>
      </c>
      <c r="I91" s="22">
        <f t="shared" si="6"/>
        <v>0.0005123744588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17">
        <v>42675.0</v>
      </c>
      <c r="B92" s="18">
        <v>83.0</v>
      </c>
      <c r="C92" s="19">
        <v>403.74</v>
      </c>
      <c r="D92" s="24">
        <f t="shared" si="1"/>
        <v>0.3012698397</v>
      </c>
      <c r="E92" s="25">
        <f t="shared" si="2"/>
        <v>403.4387302</v>
      </c>
      <c r="F92" s="22">
        <f t="shared" si="3"/>
        <v>0.3012698397</v>
      </c>
      <c r="G92" s="22">
        <f t="shared" si="4"/>
        <v>0.09076351632</v>
      </c>
      <c r="H92" s="22">
        <f t="shared" si="5"/>
        <v>0.0007461976512</v>
      </c>
      <c r="I92" s="22">
        <f t="shared" si="6"/>
        <v>0.0007461976512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17">
        <v>42705.0</v>
      </c>
      <c r="B93" s="18">
        <v>84.0</v>
      </c>
      <c r="C93" s="19">
        <v>404.9</v>
      </c>
      <c r="D93" s="24">
        <f t="shared" si="1"/>
        <v>-0.1671704784</v>
      </c>
      <c r="E93" s="25">
        <f t="shared" si="2"/>
        <v>405.0671705</v>
      </c>
      <c r="F93" s="22">
        <f t="shared" si="3"/>
        <v>0.1671704784</v>
      </c>
      <c r="G93" s="22">
        <f t="shared" si="4"/>
        <v>0.02794596885</v>
      </c>
      <c r="H93" s="22">
        <f t="shared" si="5"/>
        <v>-0.0004128685562</v>
      </c>
      <c r="I93" s="22">
        <f t="shared" si="6"/>
        <v>0.0004128685562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17">
        <v>42736.0</v>
      </c>
      <c r="B94" s="18">
        <v>85.0</v>
      </c>
      <c r="C94" s="19">
        <v>405.79</v>
      </c>
      <c r="D94" s="24">
        <f t="shared" si="1"/>
        <v>-0.02891955136</v>
      </c>
      <c r="E94" s="25">
        <f t="shared" si="2"/>
        <v>405.8189196</v>
      </c>
      <c r="F94" s="22">
        <f t="shared" si="3"/>
        <v>0.02891955136</v>
      </c>
      <c r="G94" s="22">
        <f t="shared" si="4"/>
        <v>0.0008363404511</v>
      </c>
      <c r="H94" s="22">
        <f t="shared" si="5"/>
        <v>-0.00007126728447</v>
      </c>
      <c r="I94" s="22">
        <f t="shared" si="6"/>
        <v>0.00007126728447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17">
        <v>42767.0</v>
      </c>
      <c r="B95" s="18">
        <v>86.0</v>
      </c>
      <c r="C95" s="19">
        <v>406.51</v>
      </c>
      <c r="D95" s="24">
        <f t="shared" si="1"/>
        <v>0.08918703285</v>
      </c>
      <c r="E95" s="25">
        <f t="shared" si="2"/>
        <v>406.420813</v>
      </c>
      <c r="F95" s="22">
        <f t="shared" si="3"/>
        <v>0.08918703285</v>
      </c>
      <c r="G95" s="22">
        <f t="shared" si="4"/>
        <v>0.007954326828</v>
      </c>
      <c r="H95" s="22">
        <f t="shared" si="5"/>
        <v>0.0002193968976</v>
      </c>
      <c r="I95" s="22">
        <f t="shared" si="6"/>
        <v>0.0002193968976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17">
        <v>42795.0</v>
      </c>
      <c r="B96" s="18">
        <v>87.0</v>
      </c>
      <c r="C96" s="19">
        <v>407.57</v>
      </c>
      <c r="D96" s="24">
        <f t="shared" si="1"/>
        <v>0.1837792561</v>
      </c>
      <c r="E96" s="25">
        <f t="shared" si="2"/>
        <v>407.3862207</v>
      </c>
      <c r="F96" s="22">
        <f t="shared" si="3"/>
        <v>0.1837792561</v>
      </c>
      <c r="G96" s="22">
        <f t="shared" si="4"/>
        <v>0.03377481495</v>
      </c>
      <c r="H96" s="22">
        <f t="shared" si="5"/>
        <v>0.0004509145817</v>
      </c>
      <c r="I96" s="22">
        <f t="shared" si="6"/>
        <v>0.0004509145817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17">
        <v>42826.0</v>
      </c>
      <c r="B97" s="18">
        <v>88.0</v>
      </c>
      <c r="C97" s="19">
        <v>409.22</v>
      </c>
      <c r="D97" s="24">
        <f t="shared" si="1"/>
        <v>0.1929151121</v>
      </c>
      <c r="E97" s="25">
        <f t="shared" si="2"/>
        <v>409.0270849</v>
      </c>
      <c r="F97" s="22">
        <f t="shared" si="3"/>
        <v>0.1929151121</v>
      </c>
      <c r="G97" s="22">
        <f t="shared" si="4"/>
        <v>0.03721624046</v>
      </c>
      <c r="H97" s="22">
        <f t="shared" si="5"/>
        <v>0.0004714215143</v>
      </c>
      <c r="I97" s="22">
        <f t="shared" si="6"/>
        <v>0.0004714215143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17">
        <v>42856.0</v>
      </c>
      <c r="B98" s="18">
        <v>89.0</v>
      </c>
      <c r="C98" s="19">
        <v>410.0</v>
      </c>
      <c r="D98" s="24">
        <f t="shared" si="1"/>
        <v>0.08399518697</v>
      </c>
      <c r="E98" s="25">
        <f t="shared" si="2"/>
        <v>409.9160048</v>
      </c>
      <c r="F98" s="22">
        <f t="shared" si="3"/>
        <v>0.08399518697</v>
      </c>
      <c r="G98" s="22">
        <f t="shared" si="4"/>
        <v>0.007055191434</v>
      </c>
      <c r="H98" s="22">
        <f t="shared" si="5"/>
        <v>0.0002048663097</v>
      </c>
      <c r="I98" s="22">
        <f t="shared" si="6"/>
        <v>0.0002048663097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17">
        <v>42887.0</v>
      </c>
      <c r="B99" s="18">
        <v>90.0</v>
      </c>
      <c r="C99" s="19">
        <v>408.94</v>
      </c>
      <c r="D99" s="24">
        <f t="shared" si="1"/>
        <v>-0.05071113543</v>
      </c>
      <c r="E99" s="25">
        <f t="shared" si="2"/>
        <v>408.9907111</v>
      </c>
      <c r="F99" s="22">
        <f t="shared" si="3"/>
        <v>0.05071113543</v>
      </c>
      <c r="G99" s="22">
        <f t="shared" si="4"/>
        <v>0.002571619257</v>
      </c>
      <c r="H99" s="22">
        <f t="shared" si="5"/>
        <v>-0.0001240062978</v>
      </c>
      <c r="I99" s="22">
        <f t="shared" si="6"/>
        <v>0.0001240062978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17">
        <v>42917.0</v>
      </c>
      <c r="B100" s="18">
        <v>91.0</v>
      </c>
      <c r="C100" s="19">
        <v>407.18</v>
      </c>
      <c r="D100" s="24">
        <f t="shared" si="1"/>
        <v>0.3062506896</v>
      </c>
      <c r="E100" s="25">
        <f t="shared" si="2"/>
        <v>406.8737493</v>
      </c>
      <c r="F100" s="22">
        <f t="shared" si="3"/>
        <v>0.3062506896</v>
      </c>
      <c r="G100" s="22">
        <f t="shared" si="4"/>
        <v>0.0937894849</v>
      </c>
      <c r="H100" s="22">
        <f t="shared" si="5"/>
        <v>0.0007521260613</v>
      </c>
      <c r="I100" s="22">
        <f t="shared" si="6"/>
        <v>0.0007521260613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17">
        <v>42948.0</v>
      </c>
      <c r="B101" s="18">
        <v>92.0</v>
      </c>
      <c r="C101" s="19">
        <v>405.09</v>
      </c>
      <c r="D101" s="24">
        <f t="shared" si="1"/>
        <v>-0.01124560355</v>
      </c>
      <c r="E101" s="25">
        <f t="shared" si="2"/>
        <v>405.1012456</v>
      </c>
      <c r="F101" s="22">
        <f t="shared" si="3"/>
        <v>0.01124560355</v>
      </c>
      <c r="G101" s="22">
        <f t="shared" si="4"/>
        <v>0.0001264635992</v>
      </c>
      <c r="H101" s="22">
        <f t="shared" si="5"/>
        <v>-0.00002776075329</v>
      </c>
      <c r="I101" s="22">
        <f t="shared" si="6"/>
        <v>0.00002776075329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17">
        <v>42979.0</v>
      </c>
      <c r="B102" s="18">
        <v>93.0</v>
      </c>
      <c r="C102" s="19">
        <v>403.33</v>
      </c>
      <c r="D102" s="24">
        <f t="shared" si="1"/>
        <v>-0.0988052229</v>
      </c>
      <c r="E102" s="25">
        <f t="shared" si="2"/>
        <v>403.4288052</v>
      </c>
      <c r="F102" s="22">
        <f t="shared" si="3"/>
        <v>0.0988052229</v>
      </c>
      <c r="G102" s="22">
        <f t="shared" si="4"/>
        <v>0.009762472072</v>
      </c>
      <c r="H102" s="22">
        <f t="shared" si="5"/>
        <v>-0.0002449736516</v>
      </c>
      <c r="I102" s="22">
        <f t="shared" si="6"/>
        <v>0.0002449736516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17">
        <v>43009.0</v>
      </c>
      <c r="B103" s="18">
        <v>94.0</v>
      </c>
      <c r="C103" s="19">
        <v>403.66</v>
      </c>
      <c r="D103" s="24">
        <f t="shared" si="1"/>
        <v>-0.1557375981</v>
      </c>
      <c r="E103" s="25">
        <f t="shared" si="2"/>
        <v>403.8157376</v>
      </c>
      <c r="F103" s="22">
        <f t="shared" si="3"/>
        <v>0.1557375981</v>
      </c>
      <c r="G103" s="22">
        <f t="shared" si="4"/>
        <v>0.02425419947</v>
      </c>
      <c r="H103" s="22">
        <f t="shared" si="5"/>
        <v>-0.0003858137991</v>
      </c>
      <c r="I103" s="22">
        <f t="shared" si="6"/>
        <v>0.0003858137991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17">
        <v>43040.0</v>
      </c>
      <c r="B104" s="18">
        <v>95.0</v>
      </c>
      <c r="C104" s="19">
        <v>405.46</v>
      </c>
      <c r="D104" s="24">
        <f t="shared" si="1"/>
        <v>0.1005770462</v>
      </c>
      <c r="E104" s="25">
        <f t="shared" si="2"/>
        <v>405.359423</v>
      </c>
      <c r="F104" s="22">
        <f t="shared" si="3"/>
        <v>0.1005770462</v>
      </c>
      <c r="G104" s="22">
        <f t="shared" si="4"/>
        <v>0.01011574223</v>
      </c>
      <c r="H104" s="22">
        <f t="shared" si="5"/>
        <v>0.0002480566424</v>
      </c>
      <c r="I104" s="22">
        <f t="shared" si="6"/>
        <v>0.0002480566424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17">
        <v>43070.0</v>
      </c>
      <c r="B105" s="18">
        <v>96.0</v>
      </c>
      <c r="C105" s="19">
        <v>406.9</v>
      </c>
      <c r="D105" s="24">
        <f t="shared" si="1"/>
        <v>-0.2196505711</v>
      </c>
      <c r="E105" s="25">
        <f t="shared" si="2"/>
        <v>407.1196506</v>
      </c>
      <c r="F105" s="22">
        <f t="shared" si="3"/>
        <v>0.2196505711</v>
      </c>
      <c r="G105" s="22">
        <f t="shared" si="4"/>
        <v>0.04824637339</v>
      </c>
      <c r="H105" s="22">
        <f t="shared" si="5"/>
        <v>-0.0005398146255</v>
      </c>
      <c r="I105" s="22">
        <f t="shared" si="6"/>
        <v>0.0005398146255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17">
        <v>43101.0</v>
      </c>
      <c r="B106" s="18">
        <v>97.0</v>
      </c>
      <c r="C106" s="19">
        <v>408.1</v>
      </c>
      <c r="D106" s="24">
        <f t="shared" si="1"/>
        <v>0.09023254877</v>
      </c>
      <c r="E106" s="25">
        <f t="shared" si="2"/>
        <v>408.0097675</v>
      </c>
      <c r="F106" s="22">
        <f t="shared" si="3"/>
        <v>0.09023254877</v>
      </c>
      <c r="G106" s="22">
        <f t="shared" si="4"/>
        <v>0.008141912858</v>
      </c>
      <c r="H106" s="22">
        <f t="shared" si="5"/>
        <v>0.0002211040156</v>
      </c>
      <c r="I106" s="22">
        <f t="shared" si="6"/>
        <v>0.0002211040156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17">
        <v>43132.0</v>
      </c>
      <c r="B107" s="18">
        <v>98.0</v>
      </c>
      <c r="C107" s="19">
        <v>408.83</v>
      </c>
      <c r="D107" s="24">
        <f t="shared" si="1"/>
        <v>-0.1253279882</v>
      </c>
      <c r="E107" s="25">
        <f t="shared" si="2"/>
        <v>408.955328</v>
      </c>
      <c r="F107" s="22">
        <f t="shared" si="3"/>
        <v>0.1253279882</v>
      </c>
      <c r="G107" s="22">
        <f t="shared" si="4"/>
        <v>0.01570710461</v>
      </c>
      <c r="H107" s="22">
        <f t="shared" si="5"/>
        <v>-0.0003065528169</v>
      </c>
      <c r="I107" s="22">
        <f t="shared" si="6"/>
        <v>0.0003065528169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17">
        <v>43160.0</v>
      </c>
      <c r="B108" s="18">
        <v>99.0</v>
      </c>
      <c r="C108" s="19">
        <v>409.57</v>
      </c>
      <c r="D108" s="24">
        <f t="shared" si="1"/>
        <v>-0.08480362595</v>
      </c>
      <c r="E108" s="25">
        <f t="shared" si="2"/>
        <v>409.6548036</v>
      </c>
      <c r="F108" s="22">
        <f t="shared" si="3"/>
        <v>0.08480362595</v>
      </c>
      <c r="G108" s="22">
        <f t="shared" si="4"/>
        <v>0.007191654974</v>
      </c>
      <c r="H108" s="22">
        <f t="shared" si="5"/>
        <v>-0.0002070552676</v>
      </c>
      <c r="I108" s="22">
        <f t="shared" si="6"/>
        <v>0.0002070552676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17">
        <v>43191.0</v>
      </c>
      <c r="B109" s="18">
        <v>100.0</v>
      </c>
      <c r="C109" s="19">
        <v>411.03</v>
      </c>
      <c r="D109" s="24">
        <f t="shared" si="1"/>
        <v>0.1325821251</v>
      </c>
      <c r="E109" s="25">
        <f t="shared" si="2"/>
        <v>410.8974179</v>
      </c>
      <c r="F109" s="22">
        <f t="shared" si="3"/>
        <v>0.1325821251</v>
      </c>
      <c r="G109" s="22">
        <f t="shared" si="4"/>
        <v>0.0175780199</v>
      </c>
      <c r="H109" s="22">
        <f t="shared" si="5"/>
        <v>0.0003225607014</v>
      </c>
      <c r="I109" s="22">
        <f t="shared" si="6"/>
        <v>0.0003225607014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17">
        <v>43221.0</v>
      </c>
      <c r="B110" s="18">
        <v>101.0</v>
      </c>
      <c r="C110" s="19">
        <v>411.71</v>
      </c>
      <c r="D110" s="24">
        <f t="shared" si="1"/>
        <v>-0.09949265665</v>
      </c>
      <c r="E110" s="25">
        <f t="shared" si="2"/>
        <v>411.8094927</v>
      </c>
      <c r="F110" s="22">
        <f t="shared" si="3"/>
        <v>0.09949265665</v>
      </c>
      <c r="G110" s="22">
        <f t="shared" si="4"/>
        <v>0.009898788726</v>
      </c>
      <c r="H110" s="22">
        <f t="shared" si="5"/>
        <v>-0.0002416571292</v>
      </c>
      <c r="I110" s="22">
        <f t="shared" si="6"/>
        <v>0.0002416571292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17">
        <v>43252.0</v>
      </c>
      <c r="B111" s="18">
        <v>102.0</v>
      </c>
      <c r="C111" s="19">
        <v>410.72</v>
      </c>
      <c r="D111" s="24">
        <f t="shared" si="1"/>
        <v>-0.02090792818</v>
      </c>
      <c r="E111" s="25">
        <f t="shared" si="2"/>
        <v>410.7409079</v>
      </c>
      <c r="F111" s="22">
        <f t="shared" si="3"/>
        <v>0.02090792818</v>
      </c>
      <c r="G111" s="22">
        <f t="shared" si="4"/>
        <v>0.0004371414607</v>
      </c>
      <c r="H111" s="22">
        <f t="shared" si="5"/>
        <v>-0.00005090555166</v>
      </c>
      <c r="I111" s="22">
        <f t="shared" si="6"/>
        <v>0.00005090555166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17">
        <v>43282.0</v>
      </c>
      <c r="B112" s="18">
        <v>103.0</v>
      </c>
      <c r="C112" s="19">
        <v>409.28</v>
      </c>
      <c r="D112" s="24">
        <f t="shared" si="1"/>
        <v>0.3874631099</v>
      </c>
      <c r="E112" s="25">
        <f t="shared" si="2"/>
        <v>408.8925369</v>
      </c>
      <c r="F112" s="22">
        <f t="shared" si="3"/>
        <v>0.3874631099</v>
      </c>
      <c r="G112" s="22">
        <f t="shared" si="4"/>
        <v>0.1501276615</v>
      </c>
      <c r="H112" s="22">
        <f t="shared" si="5"/>
        <v>0.0009466944632</v>
      </c>
      <c r="I112" s="22">
        <f t="shared" si="6"/>
        <v>0.0009466944632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17">
        <v>43313.0</v>
      </c>
      <c r="B113" s="18">
        <v>104.0</v>
      </c>
      <c r="C113" s="19">
        <v>407.29</v>
      </c>
      <c r="D113" s="24">
        <f t="shared" si="1"/>
        <v>-0.005926611779</v>
      </c>
      <c r="E113" s="25">
        <f t="shared" si="2"/>
        <v>407.2959266</v>
      </c>
      <c r="F113" s="22">
        <f t="shared" si="3"/>
        <v>0.005926611779</v>
      </c>
      <c r="G113" s="22">
        <f t="shared" si="4"/>
        <v>0.00003512472717</v>
      </c>
      <c r="H113" s="22">
        <f t="shared" si="5"/>
        <v>-0.00001455133143</v>
      </c>
      <c r="I113" s="22">
        <f t="shared" si="6"/>
        <v>0.00001455133143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17">
        <v>43344.0</v>
      </c>
      <c r="B114" s="18">
        <v>105.0</v>
      </c>
      <c r="C114" s="19">
        <v>405.71</v>
      </c>
      <c r="D114" s="24">
        <f t="shared" si="1"/>
        <v>0.2687206609</v>
      </c>
      <c r="E114" s="25">
        <f t="shared" si="2"/>
        <v>405.4412793</v>
      </c>
      <c r="F114" s="22">
        <f t="shared" si="3"/>
        <v>0.2687206609</v>
      </c>
      <c r="G114" s="22">
        <f t="shared" si="4"/>
        <v>0.07221079358</v>
      </c>
      <c r="H114" s="22">
        <f t="shared" si="5"/>
        <v>0.0006623466537</v>
      </c>
      <c r="I114" s="22">
        <f t="shared" si="6"/>
        <v>0.0006623466537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17">
        <v>43374.0</v>
      </c>
      <c r="B115" s="18">
        <v>106.0</v>
      </c>
      <c r="C115" s="19">
        <v>406.33</v>
      </c>
      <c r="D115" s="24">
        <f t="shared" si="1"/>
        <v>0.1364046682</v>
      </c>
      <c r="E115" s="25">
        <f t="shared" si="2"/>
        <v>406.1935953</v>
      </c>
      <c r="F115" s="22">
        <f t="shared" si="3"/>
        <v>0.1364046682</v>
      </c>
      <c r="G115" s="22">
        <f t="shared" si="4"/>
        <v>0.01860623351</v>
      </c>
      <c r="H115" s="22">
        <f t="shared" si="5"/>
        <v>0.0003356992302</v>
      </c>
      <c r="I115" s="22">
        <f t="shared" si="6"/>
        <v>0.0003356992302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17">
        <v>43405.0</v>
      </c>
      <c r="B116" s="18">
        <v>107.0</v>
      </c>
      <c r="C116" s="19">
        <v>408.23</v>
      </c>
      <c r="D116" s="24">
        <f t="shared" si="1"/>
        <v>0.3777593397</v>
      </c>
      <c r="E116" s="25">
        <f t="shared" si="2"/>
        <v>407.8522407</v>
      </c>
      <c r="F116" s="22">
        <f t="shared" si="3"/>
        <v>0.3777593397</v>
      </c>
      <c r="G116" s="22">
        <f t="shared" si="4"/>
        <v>0.1427021187</v>
      </c>
      <c r="H116" s="22">
        <f t="shared" si="5"/>
        <v>0.000925359086</v>
      </c>
      <c r="I116" s="22">
        <f t="shared" si="6"/>
        <v>0.000925359086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17">
        <v>43435.0</v>
      </c>
      <c r="B117" s="18">
        <v>108.0</v>
      </c>
      <c r="C117" s="19">
        <v>409.46</v>
      </c>
      <c r="D117" s="24">
        <f t="shared" si="1"/>
        <v>-0.1890589651</v>
      </c>
      <c r="E117" s="25">
        <f t="shared" si="2"/>
        <v>409.649059</v>
      </c>
      <c r="F117" s="22">
        <f t="shared" si="3"/>
        <v>0.1890589651</v>
      </c>
      <c r="G117" s="22">
        <f t="shared" si="4"/>
        <v>0.03574329228</v>
      </c>
      <c r="H117" s="22">
        <f t="shared" si="5"/>
        <v>-0.000461727556</v>
      </c>
      <c r="I117" s="22">
        <f t="shared" si="6"/>
        <v>0.000461727556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17">
        <v>43466.0</v>
      </c>
      <c r="B118" s="18">
        <v>109.0</v>
      </c>
      <c r="C118" s="19">
        <v>410.77</v>
      </c>
      <c r="D118" s="24">
        <f t="shared" si="1"/>
        <v>0.3445786661</v>
      </c>
      <c r="E118" s="25">
        <f t="shared" si="2"/>
        <v>410.4254213</v>
      </c>
      <c r="F118" s="22">
        <f t="shared" si="3"/>
        <v>0.3445786661</v>
      </c>
      <c r="G118" s="22">
        <f t="shared" si="4"/>
        <v>0.1187344572</v>
      </c>
      <c r="H118" s="22">
        <f t="shared" si="5"/>
        <v>0.0008388603504</v>
      </c>
      <c r="I118" s="22">
        <f t="shared" si="6"/>
        <v>0.0008388603504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17">
        <v>43497.0</v>
      </c>
      <c r="B119" s="18">
        <v>110.0</v>
      </c>
      <c r="C119" s="19">
        <v>411.84</v>
      </c>
      <c r="D119" s="24">
        <f t="shared" si="1"/>
        <v>0.1292819273</v>
      </c>
      <c r="E119" s="25">
        <f t="shared" si="2"/>
        <v>411.7107181</v>
      </c>
      <c r="F119" s="22">
        <f t="shared" si="3"/>
        <v>0.1292819273</v>
      </c>
      <c r="G119" s="22">
        <f t="shared" si="4"/>
        <v>0.01671381672</v>
      </c>
      <c r="H119" s="22">
        <f t="shared" si="5"/>
        <v>0.0003139129936</v>
      </c>
      <c r="I119" s="22">
        <f t="shared" si="6"/>
        <v>0.0003139129936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17">
        <v>43525.0</v>
      </c>
      <c r="B120" s="18">
        <v>111.0</v>
      </c>
      <c r="C120" s="19">
        <v>412.24</v>
      </c>
      <c r="D120" s="24">
        <f t="shared" si="1"/>
        <v>-0.3229083268</v>
      </c>
      <c r="E120" s="25">
        <f t="shared" si="2"/>
        <v>412.5629083</v>
      </c>
      <c r="F120" s="22">
        <f t="shared" si="3"/>
        <v>0.3229083268</v>
      </c>
      <c r="G120" s="22">
        <f t="shared" si="4"/>
        <v>0.1042697875</v>
      </c>
      <c r="H120" s="22">
        <f t="shared" si="5"/>
        <v>-0.0007833017824</v>
      </c>
      <c r="I120" s="22">
        <f t="shared" si="6"/>
        <v>0.0007833017824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17">
        <v>43556.0</v>
      </c>
      <c r="B121" s="18">
        <v>112.0</v>
      </c>
      <c r="C121" s="19">
        <v>413.46</v>
      </c>
      <c r="D121" s="24">
        <f t="shared" si="1"/>
        <v>0.1369506314</v>
      </c>
      <c r="E121" s="25">
        <f t="shared" si="2"/>
        <v>413.3230494</v>
      </c>
      <c r="F121" s="22">
        <f t="shared" si="3"/>
        <v>0.1369506314</v>
      </c>
      <c r="G121" s="22">
        <f t="shared" si="4"/>
        <v>0.01875547545</v>
      </c>
      <c r="H121" s="22">
        <f t="shared" si="5"/>
        <v>0.0003312306667</v>
      </c>
      <c r="I121" s="22">
        <f t="shared" si="6"/>
        <v>0.0003312306667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17">
        <v>43586.0</v>
      </c>
      <c r="B122" s="18">
        <v>113.0</v>
      </c>
      <c r="C122" s="19">
        <v>414.98</v>
      </c>
      <c r="D122" s="24">
        <f t="shared" si="1"/>
        <v>0.5020216945</v>
      </c>
      <c r="E122" s="25">
        <f t="shared" si="2"/>
        <v>414.4779783</v>
      </c>
      <c r="F122" s="22">
        <f t="shared" si="3"/>
        <v>0.5020216945</v>
      </c>
      <c r="G122" s="22">
        <f t="shared" si="4"/>
        <v>0.2520257817</v>
      </c>
      <c r="H122" s="22">
        <f t="shared" si="5"/>
        <v>0.001209749131</v>
      </c>
      <c r="I122" s="22">
        <f t="shared" si="6"/>
        <v>0.001209749131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17">
        <v>43617.0</v>
      </c>
      <c r="B123" s="18">
        <v>114.0</v>
      </c>
      <c r="C123" s="19">
        <v>414.3</v>
      </c>
      <c r="D123" s="24">
        <f t="shared" si="1"/>
        <v>0.08799902832</v>
      </c>
      <c r="E123" s="25">
        <f t="shared" si="2"/>
        <v>414.212001</v>
      </c>
      <c r="F123" s="22">
        <f t="shared" si="3"/>
        <v>0.08799902832</v>
      </c>
      <c r="G123" s="22">
        <f t="shared" si="4"/>
        <v>0.007743828985</v>
      </c>
      <c r="H123" s="22">
        <f t="shared" si="5"/>
        <v>0.0002124041234</v>
      </c>
      <c r="I123" s="22">
        <f t="shared" si="6"/>
        <v>0.0002124041234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17">
        <v>43647.0</v>
      </c>
      <c r="B124" s="18">
        <v>115.0</v>
      </c>
      <c r="C124" s="19">
        <v>411.92</v>
      </c>
      <c r="D124" s="24">
        <f t="shared" si="1"/>
        <v>-0.0787066256</v>
      </c>
      <c r="E124" s="25">
        <f t="shared" si="2"/>
        <v>411.9987066</v>
      </c>
      <c r="F124" s="22">
        <f t="shared" si="3"/>
        <v>0.0787066256</v>
      </c>
      <c r="G124" s="22">
        <f t="shared" si="4"/>
        <v>0.006194732913</v>
      </c>
      <c r="H124" s="22">
        <f t="shared" si="5"/>
        <v>-0.0001910726005</v>
      </c>
      <c r="I124" s="22">
        <f t="shared" si="6"/>
        <v>0.0001910726005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17">
        <v>43678.0</v>
      </c>
      <c r="B125" s="18">
        <v>116.0</v>
      </c>
      <c r="C125" s="19">
        <v>409.75</v>
      </c>
      <c r="D125" s="24">
        <f t="shared" si="1"/>
        <v>0.02709650454</v>
      </c>
      <c r="E125" s="25">
        <f t="shared" si="2"/>
        <v>409.7229035</v>
      </c>
      <c r="F125" s="22">
        <f t="shared" si="3"/>
        <v>0.02709650454</v>
      </c>
      <c r="G125" s="22">
        <f t="shared" si="4"/>
        <v>0.0007342205584</v>
      </c>
      <c r="H125" s="22">
        <f t="shared" si="5"/>
        <v>0.00006612935825</v>
      </c>
      <c r="I125" s="22">
        <f t="shared" si="6"/>
        <v>0.00006612935825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17">
        <v>43709.0</v>
      </c>
      <c r="B126" s="18">
        <v>117.0</v>
      </c>
      <c r="C126" s="19">
        <v>408.74</v>
      </c>
      <c r="D126" s="24">
        <f t="shared" si="1"/>
        <v>0.3793185525</v>
      </c>
      <c r="E126" s="25">
        <f t="shared" si="2"/>
        <v>408.3606814</v>
      </c>
      <c r="F126" s="22">
        <f t="shared" si="3"/>
        <v>0.3793185525</v>
      </c>
      <c r="G126" s="22">
        <f t="shared" si="4"/>
        <v>0.1438825642</v>
      </c>
      <c r="H126" s="22">
        <f t="shared" si="5"/>
        <v>0.0009280191625</v>
      </c>
      <c r="I126" s="22">
        <f t="shared" si="6"/>
        <v>0.0009280191625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17">
        <v>43739.0</v>
      </c>
      <c r="B127" s="18">
        <v>118.0</v>
      </c>
      <c r="C127" s="19">
        <v>408.93</v>
      </c>
      <c r="D127" s="24">
        <f t="shared" si="1"/>
        <v>-0.2487417114</v>
      </c>
      <c r="E127" s="25">
        <f t="shared" si="2"/>
        <v>409.1787417</v>
      </c>
      <c r="F127" s="22">
        <f t="shared" si="3"/>
        <v>0.2487417114</v>
      </c>
      <c r="G127" s="22">
        <f t="shared" si="4"/>
        <v>0.06187243901</v>
      </c>
      <c r="H127" s="22">
        <f t="shared" si="5"/>
        <v>-0.0006082745493</v>
      </c>
      <c r="I127" s="22">
        <f t="shared" si="6"/>
        <v>0.0006082745493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17">
        <v>43770.0</v>
      </c>
      <c r="B128" s="18">
        <v>119.0</v>
      </c>
      <c r="C128" s="19">
        <v>410.29</v>
      </c>
      <c r="D128" s="24">
        <f t="shared" si="1"/>
        <v>0.01034536003</v>
      </c>
      <c r="E128" s="25">
        <f t="shared" si="2"/>
        <v>410.2796546</v>
      </c>
      <c r="F128" s="22">
        <f t="shared" si="3"/>
        <v>0.01034536003</v>
      </c>
      <c r="G128" s="22">
        <f t="shared" si="4"/>
        <v>0.0001070264741</v>
      </c>
      <c r="H128" s="22">
        <f t="shared" si="5"/>
        <v>0.0000252147506</v>
      </c>
      <c r="I128" s="22">
        <f t="shared" si="6"/>
        <v>0.0000252147506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17">
        <v>43800.0</v>
      </c>
      <c r="B129" s="18">
        <v>120.0</v>
      </c>
      <c r="C129" s="19">
        <v>411.99</v>
      </c>
      <c r="D129" s="24">
        <f t="shared" si="1"/>
        <v>-0.1261397487</v>
      </c>
      <c r="E129" s="25">
        <f t="shared" si="2"/>
        <v>412.1161397</v>
      </c>
      <c r="F129" s="22">
        <f t="shared" si="3"/>
        <v>0.1261397487</v>
      </c>
      <c r="G129" s="22">
        <f t="shared" si="4"/>
        <v>0.01591123621</v>
      </c>
      <c r="H129" s="22">
        <f t="shared" si="5"/>
        <v>-0.00030617187</v>
      </c>
      <c r="I129" s="22">
        <f t="shared" si="6"/>
        <v>0.00030617187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17">
        <v>43831.0</v>
      </c>
      <c r="B130" s="18">
        <v>121.0</v>
      </c>
      <c r="C130" s="19">
        <v>413.37</v>
      </c>
      <c r="D130" s="24">
        <f t="shared" si="1"/>
        <v>0.1545193723</v>
      </c>
      <c r="E130" s="25">
        <f t="shared" si="2"/>
        <v>413.2154806</v>
      </c>
      <c r="F130" s="22">
        <f t="shared" si="3"/>
        <v>0.1545193723</v>
      </c>
      <c r="G130" s="22">
        <f t="shared" si="4"/>
        <v>0.02387623643</v>
      </c>
      <c r="H130" s="22">
        <f t="shared" si="5"/>
        <v>0.0003738040311</v>
      </c>
      <c r="I130" s="22">
        <f t="shared" si="6"/>
        <v>0.0003738040311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17">
        <v>43862.0</v>
      </c>
      <c r="B131" s="18">
        <v>122.0</v>
      </c>
      <c r="C131" s="19">
        <v>413.85</v>
      </c>
      <c r="D131" s="24">
        <f t="shared" si="1"/>
        <v>-0.1643530635</v>
      </c>
      <c r="E131" s="25">
        <f t="shared" si="2"/>
        <v>414.0143531</v>
      </c>
      <c r="F131" s="22">
        <f t="shared" si="3"/>
        <v>0.1643530635</v>
      </c>
      <c r="G131" s="22">
        <f t="shared" si="4"/>
        <v>0.02701192949</v>
      </c>
      <c r="H131" s="22">
        <f t="shared" si="5"/>
        <v>-0.0003971319645</v>
      </c>
      <c r="I131" s="22">
        <f t="shared" si="6"/>
        <v>0.0003971319645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17">
        <v>43891.0</v>
      </c>
      <c r="B132" s="18">
        <v>123.0</v>
      </c>
      <c r="C132" s="19">
        <v>414.56</v>
      </c>
      <c r="D132" s="24">
        <f t="shared" si="1"/>
        <v>-0.1109291242</v>
      </c>
      <c r="E132" s="25">
        <f t="shared" si="2"/>
        <v>414.6709291</v>
      </c>
      <c r="F132" s="22">
        <f t="shared" si="3"/>
        <v>0.1109291242</v>
      </c>
      <c r="G132" s="22">
        <f t="shared" si="4"/>
        <v>0.0123052706</v>
      </c>
      <c r="H132" s="22">
        <f t="shared" si="5"/>
        <v>-0.0002675827967</v>
      </c>
      <c r="I132" s="22">
        <f t="shared" si="6"/>
        <v>0.0002675827967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17">
        <v>43922.0</v>
      </c>
      <c r="B133" s="18">
        <v>124.0</v>
      </c>
      <c r="C133" s="19">
        <v>416.03</v>
      </c>
      <c r="D133" s="24">
        <f t="shared" si="1"/>
        <v>-0.01520086155</v>
      </c>
      <c r="E133" s="25">
        <f t="shared" si="2"/>
        <v>416.0452009</v>
      </c>
      <c r="F133" s="22">
        <f t="shared" si="3"/>
        <v>0.01520086155</v>
      </c>
      <c r="G133" s="22">
        <f t="shared" si="4"/>
        <v>0.0002310661918</v>
      </c>
      <c r="H133" s="22">
        <f t="shared" si="5"/>
        <v>-0.00003653789762</v>
      </c>
      <c r="I133" s="22">
        <f t="shared" si="6"/>
        <v>0.00003653789762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17">
        <v>43952.0</v>
      </c>
      <c r="B134" s="18">
        <v>125.0</v>
      </c>
      <c r="C134" s="19">
        <v>417.21</v>
      </c>
      <c r="D134" s="24">
        <f t="shared" si="1"/>
        <v>0.4707259866</v>
      </c>
      <c r="E134" s="25">
        <f t="shared" si="2"/>
        <v>416.739274</v>
      </c>
      <c r="F134" s="22">
        <f t="shared" si="3"/>
        <v>0.4707259866</v>
      </c>
      <c r="G134" s="22">
        <f t="shared" si="4"/>
        <v>0.2215829544</v>
      </c>
      <c r="H134" s="22">
        <f t="shared" si="5"/>
        <v>0.001128271102</v>
      </c>
      <c r="I134" s="22">
        <f t="shared" si="6"/>
        <v>0.001128271102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17">
        <v>43983.0</v>
      </c>
      <c r="B135" s="18">
        <v>126.0</v>
      </c>
      <c r="C135" s="19">
        <v>416.79</v>
      </c>
      <c r="D135" s="24">
        <f t="shared" si="1"/>
        <v>0.2980713406</v>
      </c>
      <c r="E135" s="25">
        <f t="shared" si="2"/>
        <v>416.4919287</v>
      </c>
      <c r="F135" s="22">
        <f t="shared" si="3"/>
        <v>0.2980713406</v>
      </c>
      <c r="G135" s="22">
        <f t="shared" si="4"/>
        <v>0.08884652411</v>
      </c>
      <c r="H135" s="22">
        <f t="shared" si="5"/>
        <v>0.0007151595303</v>
      </c>
      <c r="I135" s="22">
        <f t="shared" si="6"/>
        <v>0.0007151595303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17">
        <v>44013.0</v>
      </c>
      <c r="B136" s="18">
        <v>127.0</v>
      </c>
      <c r="C136" s="19">
        <v>414.59</v>
      </c>
      <c r="D136" s="24">
        <f t="shared" si="1"/>
        <v>-0.1700571397</v>
      </c>
      <c r="E136" s="25">
        <f t="shared" si="2"/>
        <v>414.7600571</v>
      </c>
      <c r="F136" s="22">
        <f t="shared" si="3"/>
        <v>0.1700571397</v>
      </c>
      <c r="G136" s="22">
        <f t="shared" si="4"/>
        <v>0.02891943076</v>
      </c>
      <c r="H136" s="22">
        <f t="shared" si="5"/>
        <v>-0.0004101814797</v>
      </c>
      <c r="I136" s="22">
        <f t="shared" si="6"/>
        <v>0.0004101814797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17">
        <v>44044.0</v>
      </c>
      <c r="B137" s="18">
        <v>128.0</v>
      </c>
      <c r="C137" s="19">
        <v>412.49</v>
      </c>
      <c r="D137" s="24">
        <f t="shared" si="1"/>
        <v>0.4592131486</v>
      </c>
      <c r="E137" s="25">
        <f t="shared" si="2"/>
        <v>412.0307869</v>
      </c>
      <c r="F137" s="22">
        <f t="shared" si="3"/>
        <v>0.4592131486</v>
      </c>
      <c r="G137" s="22">
        <f t="shared" si="4"/>
        <v>0.2108767159</v>
      </c>
      <c r="H137" s="22">
        <f t="shared" si="5"/>
        <v>0.001113270985</v>
      </c>
      <c r="I137" s="22">
        <f t="shared" si="6"/>
        <v>0.001113270985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17">
        <v>44075.0</v>
      </c>
      <c r="B138" s="18">
        <v>129.0</v>
      </c>
      <c r="C138" s="19">
        <v>411.51</v>
      </c>
      <c r="D138" s="24">
        <f t="shared" si="1"/>
        <v>0.2755303278</v>
      </c>
      <c r="E138" s="25">
        <f t="shared" si="2"/>
        <v>411.2344697</v>
      </c>
      <c r="F138" s="22">
        <f t="shared" si="3"/>
        <v>0.2755303278</v>
      </c>
      <c r="G138" s="22">
        <f t="shared" si="4"/>
        <v>0.07591696154</v>
      </c>
      <c r="H138" s="22">
        <f t="shared" si="5"/>
        <v>0.000669559252</v>
      </c>
      <c r="I138" s="22">
        <f t="shared" si="6"/>
        <v>0.000669559252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17">
        <v>44105.0</v>
      </c>
      <c r="B139" s="18">
        <v>130.0</v>
      </c>
      <c r="C139" s="19">
        <v>411.52</v>
      </c>
      <c r="D139" s="24">
        <f t="shared" si="1"/>
        <v>-0.2756701696</v>
      </c>
      <c r="E139" s="25">
        <f t="shared" si="2"/>
        <v>411.7956702</v>
      </c>
      <c r="F139" s="22">
        <f t="shared" si="3"/>
        <v>0.2756701696</v>
      </c>
      <c r="G139" s="22">
        <f t="shared" si="4"/>
        <v>0.07599404241</v>
      </c>
      <c r="H139" s="22">
        <f t="shared" si="5"/>
        <v>-0.0006698827994</v>
      </c>
      <c r="I139" s="22">
        <f t="shared" si="6"/>
        <v>0.0006698827994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17">
        <v>44136.0</v>
      </c>
      <c r="B140" s="18">
        <v>131.0</v>
      </c>
      <c r="C140" s="19">
        <v>412.55</v>
      </c>
      <c r="D140" s="24">
        <f t="shared" si="1"/>
        <v>-0.1786105636</v>
      </c>
      <c r="E140" s="25">
        <f t="shared" si="2"/>
        <v>412.7286106</v>
      </c>
      <c r="F140" s="22">
        <f t="shared" si="3"/>
        <v>0.1786105636</v>
      </c>
      <c r="G140" s="22">
        <f t="shared" si="4"/>
        <v>0.03190173343</v>
      </c>
      <c r="H140" s="22">
        <f t="shared" si="5"/>
        <v>-0.0004329428278</v>
      </c>
      <c r="I140" s="22">
        <f t="shared" si="6"/>
        <v>0.0004329428278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17">
        <v>44166.0</v>
      </c>
      <c r="B141" s="18">
        <v>132.0</v>
      </c>
      <c r="C141" s="19">
        <v>414.1</v>
      </c>
      <c r="D141" s="24">
        <f t="shared" si="1"/>
        <v>-0.2924619938</v>
      </c>
      <c r="E141" s="25">
        <f t="shared" si="2"/>
        <v>414.392462</v>
      </c>
      <c r="F141" s="22">
        <f t="shared" si="3"/>
        <v>0.2924619938</v>
      </c>
      <c r="G141" s="22">
        <f t="shared" si="4"/>
        <v>0.0855340178</v>
      </c>
      <c r="H141" s="22">
        <f t="shared" si="5"/>
        <v>-0.0007062593426</v>
      </c>
      <c r="I141" s="22">
        <f t="shared" si="6"/>
        <v>0.0007062593426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17">
        <v>44197.0</v>
      </c>
      <c r="B142" s="18">
        <v>133.0</v>
      </c>
      <c r="C142" s="19">
        <v>415.51</v>
      </c>
      <c r="D142" s="24">
        <f t="shared" si="1"/>
        <v>-0.008045067111</v>
      </c>
      <c r="E142" s="25">
        <f t="shared" si="2"/>
        <v>415.5180451</v>
      </c>
      <c r="F142" s="22">
        <f t="shared" si="3"/>
        <v>0.008045067111</v>
      </c>
      <c r="G142" s="22">
        <f t="shared" si="4"/>
        <v>0.00006472310482</v>
      </c>
      <c r="H142" s="22">
        <f t="shared" si="5"/>
        <v>-0.00001936190973</v>
      </c>
      <c r="I142" s="22">
        <f t="shared" si="6"/>
        <v>0.00001936190973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17">
        <v>44228.0</v>
      </c>
      <c r="B143" s="18">
        <v>134.0</v>
      </c>
      <c r="C143" s="19">
        <v>416.35</v>
      </c>
      <c r="D143" s="24">
        <f t="shared" si="1"/>
        <v>0.07995515063</v>
      </c>
      <c r="E143" s="25">
        <f t="shared" si="2"/>
        <v>416.2700448</v>
      </c>
      <c r="F143" s="22">
        <f t="shared" si="3"/>
        <v>0.07995515063</v>
      </c>
      <c r="G143" s="22">
        <f t="shared" si="4"/>
        <v>0.006392826112</v>
      </c>
      <c r="H143" s="22">
        <f t="shared" si="5"/>
        <v>0.0001920383106</v>
      </c>
      <c r="I143" s="22">
        <f t="shared" si="6"/>
        <v>0.0001920383106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17">
        <v>44256.0</v>
      </c>
      <c r="B144" s="18">
        <v>135.0</v>
      </c>
      <c r="C144" s="19">
        <v>417.51</v>
      </c>
      <c r="D144" s="24">
        <f t="shared" si="1"/>
        <v>0.1591112825</v>
      </c>
      <c r="E144" s="25">
        <f t="shared" si="2"/>
        <v>417.3508887</v>
      </c>
      <c r="F144" s="22">
        <f t="shared" si="3"/>
        <v>0.1591112825</v>
      </c>
      <c r="G144" s="22">
        <f t="shared" si="4"/>
        <v>0.02531640023</v>
      </c>
      <c r="H144" s="22">
        <f t="shared" si="5"/>
        <v>0.0003810957403</v>
      </c>
      <c r="I144" s="22">
        <f t="shared" si="6"/>
        <v>0.0003810957403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17">
        <v>44287.0</v>
      </c>
      <c r="B145" s="18">
        <v>136.0</v>
      </c>
      <c r="C145" s="19">
        <v>419.1</v>
      </c>
      <c r="D145" s="24">
        <f t="shared" si="1"/>
        <v>0.202064358</v>
      </c>
      <c r="E145" s="25">
        <f t="shared" si="2"/>
        <v>418.8979356</v>
      </c>
      <c r="F145" s="22">
        <f t="shared" si="3"/>
        <v>0.202064358</v>
      </c>
      <c r="G145" s="22">
        <f t="shared" si="4"/>
        <v>0.04083000479</v>
      </c>
      <c r="H145" s="22">
        <f t="shared" si="5"/>
        <v>0.0004821387689</v>
      </c>
      <c r="I145" s="22">
        <f t="shared" si="6"/>
        <v>0.0004821387689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17">
        <v>44317.0</v>
      </c>
      <c r="B146" s="18">
        <v>137.0</v>
      </c>
      <c r="C146" s="19">
        <v>419.22</v>
      </c>
      <c r="D146" s="24">
        <f t="shared" si="1"/>
        <v>-0.3770649375</v>
      </c>
      <c r="E146" s="25">
        <f t="shared" si="2"/>
        <v>419.5970649</v>
      </c>
      <c r="F146" s="22">
        <f t="shared" si="3"/>
        <v>0.3770649375</v>
      </c>
      <c r="G146" s="22">
        <f t="shared" si="4"/>
        <v>0.1421779671</v>
      </c>
      <c r="H146" s="22">
        <f t="shared" si="5"/>
        <v>-0.0008994440567</v>
      </c>
      <c r="I146" s="22">
        <f t="shared" si="6"/>
        <v>0.0008994440567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17">
        <v>44348.0</v>
      </c>
      <c r="B147" s="18">
        <v>138.0</v>
      </c>
      <c r="C147" s="19">
        <v>418.41</v>
      </c>
      <c r="D147" s="24">
        <f t="shared" si="1"/>
        <v>0.3335162937</v>
      </c>
      <c r="E147" s="25">
        <f t="shared" si="2"/>
        <v>418.0764837</v>
      </c>
      <c r="F147" s="22">
        <f t="shared" si="3"/>
        <v>0.3335162937</v>
      </c>
      <c r="G147" s="22">
        <f t="shared" si="4"/>
        <v>0.1112331181</v>
      </c>
      <c r="H147" s="22">
        <f t="shared" si="5"/>
        <v>0.0007971040216</v>
      </c>
      <c r="I147" s="22">
        <f t="shared" si="6"/>
        <v>0.0007971040216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17">
        <v>44378.0</v>
      </c>
      <c r="B148" s="18">
        <v>139.0</v>
      </c>
      <c r="C148" s="19">
        <v>416.73</v>
      </c>
      <c r="D148" s="24">
        <f t="shared" si="1"/>
        <v>-0.2300225343</v>
      </c>
      <c r="E148" s="25">
        <f t="shared" si="2"/>
        <v>416.9600225</v>
      </c>
      <c r="F148" s="22">
        <f t="shared" si="3"/>
        <v>0.2300225343</v>
      </c>
      <c r="G148" s="22">
        <f t="shared" si="4"/>
        <v>0.0529103663</v>
      </c>
      <c r="H148" s="22">
        <f t="shared" si="5"/>
        <v>-0.0005519701829</v>
      </c>
      <c r="I148" s="22">
        <f t="shared" si="6"/>
        <v>0.0005519701829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17">
        <v>44409.0</v>
      </c>
      <c r="B149" s="18">
        <v>140.0</v>
      </c>
      <c r="C149" s="19">
        <v>414.35</v>
      </c>
      <c r="D149" s="24">
        <f t="shared" si="1"/>
        <v>-0.03203189136</v>
      </c>
      <c r="E149" s="25">
        <f t="shared" si="2"/>
        <v>414.3820319</v>
      </c>
      <c r="F149" s="22">
        <f t="shared" si="3"/>
        <v>0.03203189136</v>
      </c>
      <c r="G149" s="22">
        <f t="shared" si="4"/>
        <v>0.001026042064</v>
      </c>
      <c r="H149" s="22">
        <f t="shared" si="5"/>
        <v>-0.00007730636265</v>
      </c>
      <c r="I149" s="22">
        <f t="shared" si="6"/>
        <v>0.00007730636265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17">
        <v>44440.0</v>
      </c>
      <c r="B150" s="18">
        <v>141.0</v>
      </c>
      <c r="C150" s="19">
        <v>413.18</v>
      </c>
      <c r="D150" s="24">
        <f t="shared" si="1"/>
        <v>0.1819850219</v>
      </c>
      <c r="E150" s="25">
        <f t="shared" si="2"/>
        <v>412.998015</v>
      </c>
      <c r="F150" s="22">
        <f t="shared" si="3"/>
        <v>0.1819850219</v>
      </c>
      <c r="G150" s="22">
        <f t="shared" si="4"/>
        <v>0.0331185482</v>
      </c>
      <c r="H150" s="22">
        <f t="shared" si="5"/>
        <v>0.000440449736</v>
      </c>
      <c r="I150" s="22">
        <f t="shared" si="6"/>
        <v>0.000440449736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17">
        <v>44470.0</v>
      </c>
      <c r="B151" s="18">
        <v>142.0</v>
      </c>
      <c r="C151" s="19">
        <v>413.76</v>
      </c>
      <c r="D151" s="24">
        <f t="shared" si="1"/>
        <v>-0.161946698</v>
      </c>
      <c r="E151" s="25">
        <f t="shared" si="2"/>
        <v>413.9219467</v>
      </c>
      <c r="F151" s="22">
        <f t="shared" si="3"/>
        <v>0.161946698</v>
      </c>
      <c r="G151" s="22">
        <f t="shared" si="4"/>
        <v>0.02622673299</v>
      </c>
      <c r="H151" s="22">
        <f t="shared" si="5"/>
        <v>-0.000391402499</v>
      </c>
      <c r="I151" s="22">
        <f t="shared" si="6"/>
        <v>0.000391402499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17">
        <v>44501.0</v>
      </c>
      <c r="B152" s="18">
        <v>143.0</v>
      </c>
      <c r="C152" s="19">
        <v>414.92</v>
      </c>
      <c r="D152" s="24">
        <f t="shared" si="1"/>
        <v>-0.04395418244</v>
      </c>
      <c r="E152" s="25">
        <f t="shared" si="2"/>
        <v>414.9639542</v>
      </c>
      <c r="F152" s="22">
        <f t="shared" si="3"/>
        <v>0.04395418244</v>
      </c>
      <c r="G152" s="22">
        <f t="shared" si="4"/>
        <v>0.001931970154</v>
      </c>
      <c r="H152" s="22">
        <f t="shared" si="5"/>
        <v>-0.0001059341137</v>
      </c>
      <c r="I152" s="22">
        <f t="shared" si="6"/>
        <v>0.0001059341137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17">
        <v>44531.0</v>
      </c>
      <c r="B153" s="18">
        <v>144.0</v>
      </c>
      <c r="C153" s="19">
        <v>416.7</v>
      </c>
      <c r="D153" s="24">
        <f t="shared" si="1"/>
        <v>0.3306756127</v>
      </c>
      <c r="E153" s="25">
        <f t="shared" si="2"/>
        <v>416.3693244</v>
      </c>
      <c r="F153" s="22">
        <f t="shared" si="3"/>
        <v>0.3306756127</v>
      </c>
      <c r="G153" s="22">
        <f t="shared" si="4"/>
        <v>0.1093463608</v>
      </c>
      <c r="H153" s="22">
        <f t="shared" si="5"/>
        <v>0.0007935579859</v>
      </c>
      <c r="I153" s="22">
        <f t="shared" si="6"/>
        <v>0.0007935579859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17">
        <v>44562.0</v>
      </c>
      <c r="B154" s="18">
        <v>145.0</v>
      </c>
      <c r="C154" s="19">
        <v>418.38</v>
      </c>
      <c r="D154" s="24">
        <f t="shared" si="1"/>
        <v>0.07626294265</v>
      </c>
      <c r="E154" s="25">
        <f t="shared" si="2"/>
        <v>418.3037371</v>
      </c>
      <c r="F154" s="22">
        <f t="shared" si="3"/>
        <v>0.07626294265</v>
      </c>
      <c r="G154" s="22">
        <f t="shared" si="4"/>
        <v>0.005816036421</v>
      </c>
      <c r="H154" s="22">
        <f t="shared" si="5"/>
        <v>0.0001822815207</v>
      </c>
      <c r="I154" s="22">
        <f t="shared" si="6"/>
        <v>0.0001822815207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17">
        <v>44593.0</v>
      </c>
      <c r="B155" s="18">
        <v>146.0</v>
      </c>
      <c r="C155" s="19">
        <v>419.08</v>
      </c>
      <c r="D155" s="24">
        <f t="shared" si="1"/>
        <v>0.2743223352</v>
      </c>
      <c r="E155" s="25">
        <f t="shared" si="2"/>
        <v>418.8056777</v>
      </c>
      <c r="F155" s="22">
        <f t="shared" si="3"/>
        <v>0.2743223352</v>
      </c>
      <c r="G155" s="22">
        <f t="shared" si="4"/>
        <v>0.0752527436</v>
      </c>
      <c r="H155" s="22">
        <f t="shared" si="5"/>
        <v>0.000654582264</v>
      </c>
      <c r="I155" s="22">
        <f t="shared" si="6"/>
        <v>0.000654582264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17">
        <v>44621.0</v>
      </c>
      <c r="B156" s="18">
        <v>147.0</v>
      </c>
      <c r="C156" s="19">
        <v>419.17</v>
      </c>
      <c r="D156" s="24">
        <f t="shared" si="1"/>
        <v>-0.6601769817</v>
      </c>
      <c r="E156" s="25">
        <f t="shared" si="2"/>
        <v>419.830177</v>
      </c>
      <c r="F156" s="22">
        <f t="shared" si="3"/>
        <v>0.6601769817</v>
      </c>
      <c r="G156" s="22">
        <f t="shared" si="4"/>
        <v>0.4358336472</v>
      </c>
      <c r="H156" s="22">
        <f t="shared" si="5"/>
        <v>-0.001574962382</v>
      </c>
      <c r="I156" s="22">
        <f t="shared" si="6"/>
        <v>0.001574962382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17">
        <v>44652.0</v>
      </c>
      <c r="B157" s="18">
        <v>148.0</v>
      </c>
      <c r="C157" s="19">
        <v>420.1</v>
      </c>
      <c r="D157" s="24">
        <f t="shared" si="1"/>
        <v>-0.2512082817</v>
      </c>
      <c r="E157" s="25">
        <f t="shared" si="2"/>
        <v>420.3512083</v>
      </c>
      <c r="F157" s="22">
        <f t="shared" si="3"/>
        <v>0.2512082817</v>
      </c>
      <c r="G157" s="22">
        <f t="shared" si="4"/>
        <v>0.06310560082</v>
      </c>
      <c r="H157" s="22">
        <f t="shared" si="5"/>
        <v>-0.0005979725821</v>
      </c>
      <c r="I157" s="22">
        <f t="shared" si="6"/>
        <v>0.0005979725821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17">
        <v>44682.0</v>
      </c>
      <c r="B158" s="18">
        <v>149.0</v>
      </c>
      <c r="C158" s="19">
        <v>421.21</v>
      </c>
      <c r="D158" s="24">
        <f t="shared" si="1"/>
        <v>0.1088707693</v>
      </c>
      <c r="E158" s="25">
        <f t="shared" si="2"/>
        <v>421.1011292</v>
      </c>
      <c r="F158" s="22">
        <f t="shared" si="3"/>
        <v>0.1088707693</v>
      </c>
      <c r="G158" s="22">
        <f t="shared" si="4"/>
        <v>0.01185284441</v>
      </c>
      <c r="H158" s="22">
        <f t="shared" si="5"/>
        <v>0.0002584714734</v>
      </c>
      <c r="I158" s="22">
        <f t="shared" si="6"/>
        <v>0.0002584714734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17">
        <v>44713.0</v>
      </c>
      <c r="B159" s="18">
        <v>150.0</v>
      </c>
      <c r="C159" s="19">
        <v>420.89</v>
      </c>
      <c r="D159" s="24">
        <f t="shared" si="1"/>
        <v>0.1478908101</v>
      </c>
      <c r="E159" s="25">
        <f t="shared" si="2"/>
        <v>420.7421092</v>
      </c>
      <c r="F159" s="22">
        <f t="shared" si="3"/>
        <v>0.1478908101</v>
      </c>
      <c r="G159" s="22">
        <f t="shared" si="4"/>
        <v>0.02187169172</v>
      </c>
      <c r="H159" s="22">
        <f t="shared" si="5"/>
        <v>0.0003513763932</v>
      </c>
      <c r="I159" s="22">
        <f t="shared" si="6"/>
        <v>0.0003513763932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17">
        <v>44743.0</v>
      </c>
      <c r="B160" s="18">
        <v>151.0</v>
      </c>
      <c r="C160" s="19">
        <v>418.96</v>
      </c>
      <c r="D160" s="24">
        <f t="shared" si="1"/>
        <v>-0.09098392936</v>
      </c>
      <c r="E160" s="25">
        <f t="shared" si="2"/>
        <v>419.0509839</v>
      </c>
      <c r="F160" s="22">
        <f t="shared" si="3"/>
        <v>0.09098392936</v>
      </c>
      <c r="G160" s="22">
        <f t="shared" si="4"/>
        <v>0.008278075403</v>
      </c>
      <c r="H160" s="22">
        <f t="shared" si="5"/>
        <v>-0.000217166148</v>
      </c>
      <c r="I160" s="22">
        <f t="shared" si="6"/>
        <v>0.000217166148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17">
        <v>44774.0</v>
      </c>
      <c r="B161" s="18">
        <v>152.0</v>
      </c>
      <c r="C161" s="19">
        <v>416.92</v>
      </c>
      <c r="D161" s="24">
        <f t="shared" si="1"/>
        <v>0.2455759953</v>
      </c>
      <c r="E161" s="25">
        <f t="shared" si="2"/>
        <v>416.674424</v>
      </c>
      <c r="F161" s="22">
        <f t="shared" si="3"/>
        <v>0.2455759953</v>
      </c>
      <c r="G161" s="22">
        <f t="shared" si="4"/>
        <v>0.06030756946</v>
      </c>
      <c r="H161" s="22">
        <f t="shared" si="5"/>
        <v>0.0005890242619</v>
      </c>
      <c r="I161" s="22">
        <f t="shared" si="6"/>
        <v>0.0005890242619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17">
        <v>44805.0</v>
      </c>
      <c r="B162" s="18">
        <v>153.0</v>
      </c>
      <c r="C162" s="19">
        <v>415.56</v>
      </c>
      <c r="D162" s="24">
        <f t="shared" si="1"/>
        <v>-0.005337446622</v>
      </c>
      <c r="E162" s="25">
        <f t="shared" si="2"/>
        <v>415.5653374</v>
      </c>
      <c r="F162" s="22">
        <f t="shared" si="3"/>
        <v>0.005337446622</v>
      </c>
      <c r="G162" s="22">
        <f t="shared" si="4"/>
        <v>0.00002848833644</v>
      </c>
      <c r="H162" s="22">
        <f t="shared" si="5"/>
        <v>-0.00001284398552</v>
      </c>
      <c r="I162" s="22">
        <f t="shared" si="6"/>
        <v>0.00001284398552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17">
        <v>44835.0</v>
      </c>
      <c r="B163" s="18">
        <v>154.0</v>
      </c>
      <c r="C163" s="19">
        <v>415.57</v>
      </c>
      <c r="D163" s="24">
        <f t="shared" si="1"/>
        <v>-0.0863736597</v>
      </c>
      <c r="E163" s="25">
        <f t="shared" si="2"/>
        <v>415.6563737</v>
      </c>
      <c r="F163" s="22">
        <f t="shared" si="3"/>
        <v>0.0863736597</v>
      </c>
      <c r="G163" s="22">
        <f t="shared" si="4"/>
        <v>0.007460409091</v>
      </c>
      <c r="H163" s="22">
        <f t="shared" si="5"/>
        <v>-0.0002078438282</v>
      </c>
      <c r="I163" s="22">
        <f t="shared" si="6"/>
        <v>0.0002078438282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17">
        <v>44866.0</v>
      </c>
      <c r="B164" s="18">
        <v>155.0</v>
      </c>
      <c r="C164" s="19">
        <v>417.45</v>
      </c>
      <c r="D164" s="24">
        <f t="shared" si="1"/>
        <v>0.487314921</v>
      </c>
      <c r="E164" s="25">
        <f t="shared" si="2"/>
        <v>416.9626851</v>
      </c>
      <c r="F164" s="22">
        <f t="shared" si="3"/>
        <v>0.487314921</v>
      </c>
      <c r="G164" s="22">
        <f t="shared" si="4"/>
        <v>0.2374758323</v>
      </c>
      <c r="H164" s="22">
        <f t="shared" si="5"/>
        <v>0.001167361172</v>
      </c>
      <c r="I164" s="22">
        <f t="shared" si="6"/>
        <v>0.001167361172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17">
        <v>44896.0</v>
      </c>
      <c r="B165" s="18">
        <v>156.0</v>
      </c>
      <c r="C165" s="19">
        <v>419.23</v>
      </c>
      <c r="D165" s="24">
        <f t="shared" si="1"/>
        <v>-0.1904204881</v>
      </c>
      <c r="E165" s="25">
        <f t="shared" si="2"/>
        <v>419.4204205</v>
      </c>
      <c r="F165" s="22">
        <f t="shared" si="3"/>
        <v>0.1904204881</v>
      </c>
      <c r="G165" s="22">
        <f t="shared" si="4"/>
        <v>0.0362599623</v>
      </c>
      <c r="H165" s="22">
        <f t="shared" si="5"/>
        <v>-0.0004542148418</v>
      </c>
      <c r="I165" s="22">
        <f t="shared" si="6"/>
        <v>0.0004542148418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26">
        <v>44927.0</v>
      </c>
      <c r="B166" s="27">
        <v>157.0</v>
      </c>
      <c r="C166" s="28">
        <v>419.66</v>
      </c>
      <c r="D166" s="29">
        <f t="shared" si="1"/>
        <v>-0.5239380535</v>
      </c>
      <c r="E166" s="30">
        <f t="shared" si="2"/>
        <v>420.1839381</v>
      </c>
      <c r="F166" s="31">
        <f t="shared" si="3"/>
        <v>0.5239380535</v>
      </c>
      <c r="G166" s="31">
        <f t="shared" si="4"/>
        <v>0.2745110839</v>
      </c>
      <c r="H166" s="31">
        <f t="shared" si="5"/>
        <v>-0.001248482232</v>
      </c>
      <c r="I166" s="31">
        <f t="shared" si="6"/>
        <v>0.001248482232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26">
        <v>44958.0</v>
      </c>
      <c r="B167" s="27">
        <v>158.0</v>
      </c>
      <c r="C167" s="28">
        <v>419.94</v>
      </c>
      <c r="D167" s="29">
        <f t="shared" si="1"/>
        <v>-0.2566693267</v>
      </c>
      <c r="E167" s="30">
        <f t="shared" si="2"/>
        <v>420.1966693</v>
      </c>
      <c r="F167" s="31">
        <f t="shared" si="3"/>
        <v>0.2566693267</v>
      </c>
      <c r="G167" s="31">
        <f t="shared" si="4"/>
        <v>0.06587914329</v>
      </c>
      <c r="H167" s="31">
        <f t="shared" si="5"/>
        <v>-0.0006112047596</v>
      </c>
      <c r="I167" s="31">
        <f t="shared" si="6"/>
        <v>0.0006112047596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26">
        <v>44986.0</v>
      </c>
      <c r="B168" s="27">
        <v>159.0</v>
      </c>
      <c r="C168" s="28">
        <v>421.06</v>
      </c>
      <c r="D168" s="29">
        <f t="shared" si="1"/>
        <v>-0.1504625226</v>
      </c>
      <c r="E168" s="30">
        <f t="shared" si="2"/>
        <v>421.2104625</v>
      </c>
      <c r="F168" s="31">
        <f t="shared" si="3"/>
        <v>0.1504625226</v>
      </c>
      <c r="G168" s="31">
        <f t="shared" si="4"/>
        <v>0.02263897072</v>
      </c>
      <c r="H168" s="31">
        <f t="shared" si="5"/>
        <v>-0.0003573422378</v>
      </c>
      <c r="I168" s="31">
        <f t="shared" si="6"/>
        <v>0.0003573422378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26">
        <v>45017.0</v>
      </c>
      <c r="B169" s="27">
        <v>160.0</v>
      </c>
      <c r="C169" s="28">
        <v>423.07</v>
      </c>
      <c r="D169" s="29">
        <f t="shared" si="1"/>
        <v>0.5194303956</v>
      </c>
      <c r="E169" s="30">
        <f t="shared" si="2"/>
        <v>422.5505696</v>
      </c>
      <c r="F169" s="31">
        <f t="shared" si="3"/>
        <v>0.5194303956</v>
      </c>
      <c r="G169" s="31">
        <f t="shared" si="4"/>
        <v>0.2698079359</v>
      </c>
      <c r="H169" s="31">
        <f t="shared" si="5"/>
        <v>0.001227764662</v>
      </c>
      <c r="I169" s="31">
        <f t="shared" si="6"/>
        <v>0.001227764662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26">
        <v>45047.0</v>
      </c>
      <c r="B170" s="27">
        <v>161.0</v>
      </c>
      <c r="C170" s="28">
        <v>424.41</v>
      </c>
      <c r="D170" s="29">
        <f t="shared" si="1"/>
        <v>0.4093983084</v>
      </c>
      <c r="E170" s="30">
        <f t="shared" si="2"/>
        <v>424.0006017</v>
      </c>
      <c r="F170" s="31">
        <f t="shared" si="3"/>
        <v>0.4093983084</v>
      </c>
      <c r="G170" s="31">
        <f t="shared" si="4"/>
        <v>0.1676069749</v>
      </c>
      <c r="H170" s="31">
        <f t="shared" si="5"/>
        <v>0.0009646292697</v>
      </c>
      <c r="I170" s="31">
        <f t="shared" si="6"/>
        <v>0.0009646292697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26">
        <v>45078.0</v>
      </c>
      <c r="B171" s="27">
        <v>162.0</v>
      </c>
      <c r="C171" s="28">
        <v>423.47</v>
      </c>
      <c r="D171" s="29">
        <f t="shared" si="1"/>
        <v>-0.09938836753</v>
      </c>
      <c r="E171" s="30">
        <f t="shared" si="2"/>
        <v>423.5693884</v>
      </c>
      <c r="F171" s="31">
        <f t="shared" si="3"/>
        <v>0.09938836753</v>
      </c>
      <c r="G171" s="31">
        <f t="shared" si="4"/>
        <v>0.0098780476</v>
      </c>
      <c r="H171" s="31">
        <f t="shared" si="5"/>
        <v>-0.0002346999021</v>
      </c>
      <c r="I171" s="31">
        <f t="shared" si="6"/>
        <v>0.0002346999021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26">
        <v>45108.0</v>
      </c>
      <c r="B172" s="27">
        <v>163.0</v>
      </c>
      <c r="C172" s="28">
        <v>421.33</v>
      </c>
      <c r="D172" s="29">
        <f t="shared" si="1"/>
        <v>0.2845208129</v>
      </c>
      <c r="E172" s="30">
        <f t="shared" si="2"/>
        <v>421.0454792</v>
      </c>
      <c r="F172" s="31">
        <f t="shared" si="3"/>
        <v>0.2845208129</v>
      </c>
      <c r="G172" s="31">
        <f t="shared" si="4"/>
        <v>0.08095209296</v>
      </c>
      <c r="H172" s="31">
        <f t="shared" si="5"/>
        <v>0.0006752920819</v>
      </c>
      <c r="I172" s="31">
        <f t="shared" si="6"/>
        <v>0.0006752920819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26">
        <v>45139.0</v>
      </c>
      <c r="B173" s="27">
        <v>164.0</v>
      </c>
      <c r="C173" s="28">
        <v>419.7</v>
      </c>
      <c r="D173" s="29">
        <f t="shared" si="1"/>
        <v>0.6057384102</v>
      </c>
      <c r="E173" s="30">
        <f t="shared" si="2"/>
        <v>419.0942616</v>
      </c>
      <c r="F173" s="31">
        <f t="shared" si="3"/>
        <v>0.6057384102</v>
      </c>
      <c r="G173" s="31">
        <f t="shared" si="4"/>
        <v>0.3669190216</v>
      </c>
      <c r="H173" s="31">
        <f t="shared" si="5"/>
        <v>0.001443265214</v>
      </c>
      <c r="I173" s="31">
        <f t="shared" si="6"/>
        <v>0.001443265214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26">
        <v>45170.0</v>
      </c>
      <c r="B174" s="27">
        <v>165.0</v>
      </c>
      <c r="C174" s="28">
        <v>418.84</v>
      </c>
      <c r="D174" s="29">
        <f t="shared" si="1"/>
        <v>0.4605975622</v>
      </c>
      <c r="E174" s="30">
        <f t="shared" si="2"/>
        <v>418.3794024</v>
      </c>
      <c r="F174" s="31">
        <f t="shared" si="3"/>
        <v>0.4605975622</v>
      </c>
      <c r="G174" s="31">
        <f t="shared" si="4"/>
        <v>0.2121501143</v>
      </c>
      <c r="H174" s="31">
        <f t="shared" si="5"/>
        <v>0.001099698124</v>
      </c>
      <c r="I174" s="31">
        <f t="shared" si="6"/>
        <v>0.001099698124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26">
        <v>45200.0</v>
      </c>
      <c r="B175" s="27">
        <v>166.0</v>
      </c>
      <c r="C175" s="28">
        <v>418.74</v>
      </c>
      <c r="D175" s="29">
        <f t="shared" si="1"/>
        <v>-0.2190088646</v>
      </c>
      <c r="E175" s="30">
        <f t="shared" si="2"/>
        <v>418.9590089</v>
      </c>
      <c r="F175" s="31">
        <f t="shared" si="3"/>
        <v>0.2190088646</v>
      </c>
      <c r="G175" s="31">
        <f t="shared" si="4"/>
        <v>0.04796488279</v>
      </c>
      <c r="H175" s="31">
        <f t="shared" si="5"/>
        <v>-0.0005230187339</v>
      </c>
      <c r="I175" s="31">
        <f t="shared" si="6"/>
        <v>0.0005230187339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26">
        <v>45231.0</v>
      </c>
      <c r="B176" s="27">
        <v>167.0</v>
      </c>
      <c r="C176" s="28">
        <v>419.85</v>
      </c>
      <c r="D176" s="29">
        <f t="shared" si="1"/>
        <v>-0.08643268383</v>
      </c>
      <c r="E176" s="30">
        <f t="shared" si="2"/>
        <v>419.9364327</v>
      </c>
      <c r="F176" s="31">
        <f t="shared" si="3"/>
        <v>0.08643268383</v>
      </c>
      <c r="G176" s="31">
        <f t="shared" si="4"/>
        <v>0.007470608833</v>
      </c>
      <c r="H176" s="31">
        <f t="shared" si="5"/>
        <v>-0.0002058656278</v>
      </c>
      <c r="I176" s="31">
        <f t="shared" si="6"/>
        <v>0.0002058656278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26">
        <v>45261.0</v>
      </c>
      <c r="B177" s="27">
        <v>168.0</v>
      </c>
      <c r="C177" s="28">
        <v>421.63</v>
      </c>
      <c r="D177" s="29">
        <f t="shared" si="1"/>
        <v>0.0252781203</v>
      </c>
      <c r="E177" s="30">
        <f t="shared" si="2"/>
        <v>421.6047219</v>
      </c>
      <c r="F177" s="31">
        <f t="shared" si="3"/>
        <v>0.0252781203</v>
      </c>
      <c r="G177" s="31">
        <f t="shared" si="4"/>
        <v>0.0006389833661</v>
      </c>
      <c r="H177" s="31">
        <f t="shared" si="5"/>
        <v>0.00005995332472</v>
      </c>
      <c r="I177" s="31">
        <f t="shared" si="6"/>
        <v>0.00005995332472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</sheetData>
  <mergeCells count="2">
    <mergeCell ref="D1:E1"/>
    <mergeCell ref="G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3.43"/>
    <col customWidth="1" min="3" max="3" width="25.43"/>
    <col customWidth="1" min="4" max="4" width="16.29"/>
  </cols>
  <sheetData>
    <row r="1">
      <c r="A1" s="7" t="s">
        <v>6</v>
      </c>
      <c r="B1" s="7">
        <v>0.31</v>
      </c>
      <c r="C1" s="9"/>
      <c r="D1" s="10" t="s">
        <v>7</v>
      </c>
      <c r="E1" s="11"/>
      <c r="F1" s="3"/>
      <c r="G1" s="10" t="s">
        <v>8</v>
      </c>
      <c r="H1" s="1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7" t="s">
        <v>9</v>
      </c>
      <c r="B2" s="7">
        <v>-0.863</v>
      </c>
      <c r="C2" s="9"/>
      <c r="D2" s="12" t="s">
        <v>10</v>
      </c>
      <c r="E2" s="13">
        <f>(SUM(I10:I165)/156)*100</f>
        <v>0.04616905633</v>
      </c>
      <c r="F2" s="3"/>
      <c r="G2" s="12" t="s">
        <v>10</v>
      </c>
      <c r="H2" s="13">
        <f>(SUM(I166:I177)/12)*100</f>
        <v>0.06720235424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7" t="s">
        <v>11</v>
      </c>
      <c r="B3" s="7">
        <v>0.2532</v>
      </c>
      <c r="C3" s="9"/>
      <c r="D3" s="12" t="s">
        <v>12</v>
      </c>
      <c r="E3" s="13">
        <f>SQRT(SUM(G10:G165)/156)</f>
        <v>0.2706958724</v>
      </c>
      <c r="F3" s="32"/>
      <c r="G3" s="12" t="s">
        <v>13</v>
      </c>
      <c r="H3" s="13">
        <f>SUM(G166:G177)/12</f>
        <v>0.09698366418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7" t="s">
        <v>14</v>
      </c>
      <c r="B4" s="7">
        <v>-0.4865</v>
      </c>
      <c r="C4" s="9"/>
      <c r="D4" s="12" t="s">
        <v>13</v>
      </c>
      <c r="E4" s="33">
        <f>SUM(G10:G165)/156</f>
        <v>0.07327625531</v>
      </c>
      <c r="F4" s="32"/>
      <c r="G4" s="12" t="s">
        <v>15</v>
      </c>
      <c r="H4" s="13">
        <f>SUM(F166:F177)/12</f>
        <v>0.2827314746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7" t="s">
        <v>16</v>
      </c>
      <c r="B5" s="7">
        <v>0.8495</v>
      </c>
      <c r="C5" s="9"/>
      <c r="D5" s="12" t="s">
        <v>15</v>
      </c>
      <c r="E5" s="13">
        <f>SUM(F10:F165)/156</f>
        <v>0.1880175177</v>
      </c>
      <c r="F5" s="3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7" t="s">
        <v>28</v>
      </c>
      <c r="B6" s="7">
        <v>0.235</v>
      </c>
      <c r="C6" s="9"/>
      <c r="D6" s="12" t="s">
        <v>17</v>
      </c>
      <c r="E6" s="13">
        <f>SUM(G10:G165)</f>
        <v>11.43109583</v>
      </c>
      <c r="F6" s="3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7" t="s">
        <v>29</v>
      </c>
      <c r="B7" s="7">
        <v>-0.1965</v>
      </c>
      <c r="C7" s="9"/>
      <c r="D7" s="12" t="s">
        <v>18</v>
      </c>
      <c r="E7" s="13">
        <f>(156*LN(E6/156))+2*7</f>
        <v>-393.7089111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9"/>
      <c r="B8" s="9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15" t="s">
        <v>19</v>
      </c>
      <c r="B9" s="16" t="s">
        <v>20</v>
      </c>
      <c r="C9" s="15" t="s">
        <v>21</v>
      </c>
      <c r="D9" s="14" t="s">
        <v>22</v>
      </c>
      <c r="E9" s="14" t="s">
        <v>23</v>
      </c>
      <c r="F9" s="14" t="s">
        <v>24</v>
      </c>
      <c r="G9" s="14" t="s">
        <v>25</v>
      </c>
      <c r="H9" s="14" t="s">
        <v>26</v>
      </c>
      <c r="I9" s="14" t="s">
        <v>27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17">
        <v>40179.0</v>
      </c>
      <c r="B10" s="18">
        <v>1.0</v>
      </c>
      <c r="C10" s="19">
        <v>388.79</v>
      </c>
      <c r="D10" s="34"/>
      <c r="E10" s="20"/>
      <c r="F10" s="18"/>
      <c r="G10" s="18"/>
      <c r="H10" s="18"/>
      <c r="I10" s="3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17">
        <v>40210.0</v>
      </c>
      <c r="B11" s="18">
        <v>2.0</v>
      </c>
      <c r="C11" s="19">
        <v>389.92</v>
      </c>
      <c r="D11" s="34"/>
      <c r="E11" s="20"/>
      <c r="F11" s="18"/>
      <c r="G11" s="18"/>
      <c r="H11" s="18"/>
      <c r="I11" s="3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17">
        <v>40238.0</v>
      </c>
      <c r="B12" s="18">
        <v>3.0</v>
      </c>
      <c r="C12" s="19">
        <v>391.27</v>
      </c>
      <c r="D12" s="34"/>
      <c r="E12" s="20"/>
      <c r="F12" s="18"/>
      <c r="G12" s="18"/>
      <c r="H12" s="18"/>
      <c r="I12" s="3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17">
        <v>40269.0</v>
      </c>
      <c r="B13" s="18">
        <v>4.0</v>
      </c>
      <c r="C13" s="19">
        <v>392.79</v>
      </c>
      <c r="D13" s="34"/>
      <c r="E13" s="20"/>
      <c r="F13" s="18"/>
      <c r="G13" s="18"/>
      <c r="H13" s="18"/>
      <c r="I13" s="3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17">
        <v>40299.0</v>
      </c>
      <c r="B14" s="18">
        <v>5.0</v>
      </c>
      <c r="C14" s="19">
        <v>393.57</v>
      </c>
      <c r="D14" s="34"/>
      <c r="E14" s="20"/>
      <c r="F14" s="18"/>
      <c r="G14" s="18"/>
      <c r="H14" s="18"/>
      <c r="I14" s="3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17">
        <v>40330.0</v>
      </c>
      <c r="B15" s="18">
        <v>6.0</v>
      </c>
      <c r="C15" s="19">
        <v>392.45</v>
      </c>
      <c r="D15" s="34"/>
      <c r="E15" s="20"/>
      <c r="F15" s="18"/>
      <c r="G15" s="18"/>
      <c r="H15" s="18"/>
      <c r="I15" s="3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17">
        <v>40360.0</v>
      </c>
      <c r="B16" s="18">
        <v>7.0</v>
      </c>
      <c r="C16" s="19">
        <v>390.27</v>
      </c>
      <c r="D16" s="34"/>
      <c r="E16" s="20"/>
      <c r="F16" s="18"/>
      <c r="G16" s="18"/>
      <c r="H16" s="18"/>
      <c r="I16" s="3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17">
        <v>40391.0</v>
      </c>
      <c r="B17" s="18">
        <v>8.0</v>
      </c>
      <c r="C17" s="19">
        <v>388.17</v>
      </c>
      <c r="D17" s="34"/>
      <c r="E17" s="20"/>
      <c r="F17" s="18"/>
      <c r="G17" s="18"/>
      <c r="H17" s="18"/>
      <c r="I17" s="3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17">
        <v>40422.0</v>
      </c>
      <c r="B18" s="18">
        <v>9.0</v>
      </c>
      <c r="C18" s="19">
        <v>386.74</v>
      </c>
      <c r="D18" s="34"/>
      <c r="E18" s="20"/>
      <c r="F18" s="18"/>
      <c r="G18" s="18"/>
      <c r="H18" s="18"/>
      <c r="I18" s="3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17">
        <v>40452.0</v>
      </c>
      <c r="B19" s="18">
        <v>10.0</v>
      </c>
      <c r="C19" s="19">
        <v>387.39</v>
      </c>
      <c r="D19" s="34"/>
      <c r="E19" s="20"/>
      <c r="F19" s="18"/>
      <c r="G19" s="18"/>
      <c r="H19" s="18"/>
      <c r="I19" s="3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17">
        <v>40483.0</v>
      </c>
      <c r="B20" s="18">
        <v>11.0</v>
      </c>
      <c r="C20" s="19">
        <v>388.74</v>
      </c>
      <c r="D20" s="34"/>
      <c r="E20" s="20"/>
      <c r="F20" s="18"/>
      <c r="G20" s="18"/>
      <c r="H20" s="18"/>
      <c r="I20" s="3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17">
        <v>40513.0</v>
      </c>
      <c r="B21" s="18">
        <v>12.0</v>
      </c>
      <c r="C21" s="19">
        <v>390.23</v>
      </c>
      <c r="D21" s="34"/>
      <c r="E21" s="20"/>
      <c r="F21" s="18"/>
      <c r="G21" s="18"/>
      <c r="H21" s="18"/>
      <c r="I21" s="3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17">
        <v>40544.0</v>
      </c>
      <c r="B22" s="18">
        <v>13.0</v>
      </c>
      <c r="C22" s="19">
        <v>391.74</v>
      </c>
      <c r="D22" s="34"/>
      <c r="E22" s="20"/>
      <c r="F22" s="18"/>
      <c r="G22" s="18"/>
      <c r="H22" s="18"/>
      <c r="I22" s="3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17">
        <v>40575.0</v>
      </c>
      <c r="B23" s="18">
        <v>14.0</v>
      </c>
      <c r="C23" s="19">
        <v>392.32</v>
      </c>
      <c r="D23" s="36"/>
      <c r="E23" s="37"/>
      <c r="F23" s="18"/>
      <c r="G23" s="18"/>
      <c r="H23" s="18"/>
      <c r="I23" s="3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17">
        <v>40603.0</v>
      </c>
      <c r="B24" s="18">
        <v>15.0</v>
      </c>
      <c r="C24" s="19">
        <v>392.82</v>
      </c>
      <c r="D24" s="36"/>
      <c r="E24" s="37"/>
      <c r="F24" s="18"/>
      <c r="G24" s="18"/>
      <c r="H24" s="18"/>
      <c r="I24" s="3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17">
        <v>40634.0</v>
      </c>
      <c r="B25" s="18">
        <v>16.0</v>
      </c>
      <c r="C25" s="19">
        <v>393.88</v>
      </c>
      <c r="D25" s="36"/>
      <c r="E25" s="37"/>
      <c r="F25" s="18"/>
      <c r="G25" s="18"/>
      <c r="H25" s="18"/>
      <c r="I25" s="3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17">
        <v>40664.0</v>
      </c>
      <c r="B26" s="18">
        <v>17.0</v>
      </c>
      <c r="C26" s="19">
        <v>394.46</v>
      </c>
      <c r="D26" s="36"/>
      <c r="E26" s="37"/>
      <c r="F26" s="18"/>
      <c r="G26" s="18"/>
      <c r="H26" s="18"/>
      <c r="I26" s="3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17">
        <v>40695.0</v>
      </c>
      <c r="B27" s="18">
        <v>18.0</v>
      </c>
      <c r="C27" s="19">
        <v>393.99</v>
      </c>
      <c r="D27" s="36"/>
      <c r="E27" s="37"/>
      <c r="F27" s="18"/>
      <c r="G27" s="18"/>
      <c r="H27" s="18"/>
      <c r="I27" s="3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17">
        <v>40725.0</v>
      </c>
      <c r="B28" s="18">
        <v>19.0</v>
      </c>
      <c r="C28" s="19">
        <v>392.54</v>
      </c>
      <c r="D28" s="36"/>
      <c r="E28" s="37"/>
      <c r="F28" s="18"/>
      <c r="G28" s="18"/>
      <c r="H28" s="18"/>
      <c r="I28" s="3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17">
        <v>40756.0</v>
      </c>
      <c r="B29" s="18">
        <v>20.0</v>
      </c>
      <c r="C29" s="19">
        <v>390.15</v>
      </c>
      <c r="D29" s="36"/>
      <c r="E29" s="37"/>
      <c r="F29" s="18"/>
      <c r="G29" s="18"/>
      <c r="H29" s="18"/>
      <c r="I29" s="3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17">
        <v>40787.0</v>
      </c>
      <c r="B30" s="18">
        <v>21.0</v>
      </c>
      <c r="C30" s="19">
        <v>388.78</v>
      </c>
      <c r="D30" s="36"/>
      <c r="E30" s="37"/>
      <c r="F30" s="18"/>
      <c r="G30" s="18"/>
      <c r="H30" s="18"/>
      <c r="I30" s="3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17">
        <v>40817.0</v>
      </c>
      <c r="B31" s="18">
        <v>22.0</v>
      </c>
      <c r="C31" s="19">
        <v>389.33</v>
      </c>
      <c r="D31" s="36"/>
      <c r="E31" s="37"/>
      <c r="F31" s="18"/>
      <c r="G31" s="18"/>
      <c r="H31" s="18"/>
      <c r="I31" s="3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17">
        <v>40848.0</v>
      </c>
      <c r="B32" s="18">
        <v>23.0</v>
      </c>
      <c r="C32" s="19">
        <v>390.64</v>
      </c>
      <c r="D32" s="36"/>
      <c r="E32" s="37"/>
      <c r="F32" s="18"/>
      <c r="G32" s="18"/>
      <c r="H32" s="18"/>
      <c r="I32" s="3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17">
        <v>40878.0</v>
      </c>
      <c r="B33" s="18">
        <v>24.0</v>
      </c>
      <c r="C33" s="19">
        <v>392.34</v>
      </c>
      <c r="D33" s="36"/>
      <c r="E33" s="37"/>
      <c r="F33" s="18"/>
      <c r="G33" s="18"/>
      <c r="H33" s="18"/>
      <c r="I33" s="3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17">
        <v>40909.0</v>
      </c>
      <c r="B34" s="18">
        <v>25.0</v>
      </c>
      <c r="C34" s="19">
        <v>393.18</v>
      </c>
      <c r="D34" s="36"/>
      <c r="E34" s="37"/>
      <c r="F34" s="18"/>
      <c r="G34" s="18"/>
      <c r="H34" s="18"/>
      <c r="I34" s="3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17">
        <v>40940.0</v>
      </c>
      <c r="B35" s="18">
        <v>26.0</v>
      </c>
      <c r="C35" s="19">
        <v>393.42</v>
      </c>
      <c r="D35" s="36"/>
      <c r="E35" s="37"/>
      <c r="F35" s="18"/>
      <c r="G35" s="18"/>
      <c r="H35" s="18"/>
      <c r="I35" s="3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17">
        <v>40969.0</v>
      </c>
      <c r="B36" s="18">
        <v>27.0</v>
      </c>
      <c r="C36" s="19">
        <v>394.82</v>
      </c>
      <c r="D36" s="36"/>
      <c r="E36" s="37"/>
      <c r="F36" s="18"/>
      <c r="G36" s="18"/>
      <c r="H36" s="18"/>
      <c r="I36" s="3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17">
        <v>41000.0</v>
      </c>
      <c r="B37" s="18">
        <v>28.0</v>
      </c>
      <c r="C37" s="19">
        <v>396.73</v>
      </c>
      <c r="D37" s="36"/>
      <c r="E37" s="37"/>
      <c r="F37" s="18"/>
      <c r="G37" s="18"/>
      <c r="H37" s="18"/>
      <c r="I37" s="3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17">
        <v>41030.0</v>
      </c>
      <c r="B38" s="18">
        <v>29.0</v>
      </c>
      <c r="C38" s="19">
        <v>397.16</v>
      </c>
      <c r="D38" s="36"/>
      <c r="E38" s="37"/>
      <c r="F38" s="18"/>
      <c r="G38" s="18"/>
      <c r="H38" s="18"/>
      <c r="I38" s="3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17">
        <v>41061.0</v>
      </c>
      <c r="B39" s="18">
        <v>30.0</v>
      </c>
      <c r="C39" s="19">
        <v>396.04</v>
      </c>
      <c r="D39" s="36"/>
      <c r="E39" s="37"/>
      <c r="F39" s="18"/>
      <c r="G39" s="18"/>
      <c r="H39" s="18"/>
      <c r="I39" s="3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17">
        <v>41091.0</v>
      </c>
      <c r="B40" s="18">
        <v>31.0</v>
      </c>
      <c r="C40" s="19">
        <v>394.46</v>
      </c>
      <c r="D40" s="36"/>
      <c r="E40" s="37"/>
      <c r="F40" s="18"/>
      <c r="G40" s="18"/>
      <c r="H40" s="18"/>
      <c r="I40" s="3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17">
        <v>41122.0</v>
      </c>
      <c r="B41" s="18">
        <v>32.0</v>
      </c>
      <c r="C41" s="19">
        <v>392.41</v>
      </c>
      <c r="D41" s="36"/>
      <c r="E41" s="37"/>
      <c r="F41" s="18"/>
      <c r="G41" s="18"/>
      <c r="H41" s="18"/>
      <c r="I41" s="3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17">
        <v>41153.0</v>
      </c>
      <c r="B42" s="18">
        <v>33.0</v>
      </c>
      <c r="C42" s="19">
        <v>391.05</v>
      </c>
      <c r="D42" s="36"/>
      <c r="E42" s="37"/>
      <c r="F42" s="18"/>
      <c r="G42" s="18"/>
      <c r="H42" s="18"/>
      <c r="I42" s="3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17">
        <v>41183.0</v>
      </c>
      <c r="B43" s="18">
        <v>34.0</v>
      </c>
      <c r="C43" s="19">
        <v>391.31</v>
      </c>
      <c r="D43" s="36"/>
      <c r="E43" s="37"/>
      <c r="F43" s="18"/>
      <c r="G43" s="18"/>
      <c r="H43" s="18"/>
      <c r="I43" s="3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17">
        <v>41214.0</v>
      </c>
      <c r="B44" s="18">
        <v>35.0</v>
      </c>
      <c r="C44" s="19">
        <v>393.26</v>
      </c>
      <c r="D44" s="36"/>
      <c r="E44" s="37"/>
      <c r="F44" s="18"/>
      <c r="G44" s="18"/>
      <c r="H44" s="18"/>
      <c r="I44" s="3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17">
        <v>41244.0</v>
      </c>
      <c r="B45" s="18">
        <v>36.0</v>
      </c>
      <c r="C45" s="19">
        <v>394.84</v>
      </c>
      <c r="D45" s="36"/>
      <c r="E45" s="37"/>
      <c r="F45" s="18"/>
      <c r="G45" s="18"/>
      <c r="H45" s="18"/>
      <c r="I45" s="3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17">
        <v>41275.0</v>
      </c>
      <c r="B46" s="18">
        <v>37.0</v>
      </c>
      <c r="C46" s="19">
        <v>395.85</v>
      </c>
      <c r="D46" s="34">
        <f t="shared" ref="D46:D177" si="1">C46-E46</f>
        <v>0.837813</v>
      </c>
      <c r="E46" s="38">
        <f t="shared" ref="E46:E178" si="2">C45+C34-C33+($B$1*(C45-C44-C33+C32))+($B$2*(C44-C43-C32+C31))+($B$3*(C43-C42-C31+C30))+($B$4*(C42-C41-C30+C29))-($B$5*D34)-($B$6*D22)-($B$7*D10)</f>
        <v>395.012187</v>
      </c>
      <c r="F46" s="39">
        <f t="shared" ref="F46:F177" si="3">ABS(D46)</f>
        <v>0.837813</v>
      </c>
      <c r="G46" s="39">
        <f t="shared" ref="G46:G177" si="4">D46^2</f>
        <v>0.701930623</v>
      </c>
      <c r="H46" s="39">
        <f t="shared" ref="H46:H177" si="5">D46/C46</f>
        <v>0.002116491095</v>
      </c>
      <c r="I46" s="39">
        <f t="shared" ref="I46:I177" si="6">F46/C46</f>
        <v>0.002116491095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17">
        <v>41306.0</v>
      </c>
      <c r="B47" s="18">
        <v>38.0</v>
      </c>
      <c r="C47" s="19">
        <v>397.0</v>
      </c>
      <c r="D47" s="34">
        <f t="shared" si="1"/>
        <v>0.450607</v>
      </c>
      <c r="E47" s="38">
        <f t="shared" si="2"/>
        <v>396.549393</v>
      </c>
      <c r="F47" s="39">
        <f t="shared" si="3"/>
        <v>0.450607</v>
      </c>
      <c r="G47" s="39">
        <f t="shared" si="4"/>
        <v>0.2030466684</v>
      </c>
      <c r="H47" s="39">
        <f t="shared" si="5"/>
        <v>0.001135030227</v>
      </c>
      <c r="I47" s="39">
        <f t="shared" si="6"/>
        <v>0.001135030227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17">
        <v>41334.0</v>
      </c>
      <c r="B48" s="18">
        <v>39.0</v>
      </c>
      <c r="C48" s="19">
        <v>397.94</v>
      </c>
      <c r="D48" s="34">
        <f t="shared" si="1"/>
        <v>-0.253646</v>
      </c>
      <c r="E48" s="38">
        <f t="shared" si="2"/>
        <v>398.193646</v>
      </c>
      <c r="F48" s="39">
        <f t="shared" si="3"/>
        <v>0.253646</v>
      </c>
      <c r="G48" s="39">
        <f t="shared" si="4"/>
        <v>0.06433629332</v>
      </c>
      <c r="H48" s="39">
        <f t="shared" si="5"/>
        <v>-0.0006373975976</v>
      </c>
      <c r="I48" s="39">
        <f t="shared" si="6"/>
        <v>0.0006373975976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17">
        <v>41365.0</v>
      </c>
      <c r="B49" s="18">
        <v>40.0</v>
      </c>
      <c r="C49" s="19">
        <v>398.9</v>
      </c>
      <c r="D49" s="34">
        <f t="shared" si="1"/>
        <v>-0.123494</v>
      </c>
      <c r="E49" s="38">
        <f t="shared" si="2"/>
        <v>399.023494</v>
      </c>
      <c r="F49" s="39">
        <f t="shared" si="3"/>
        <v>0.123494</v>
      </c>
      <c r="G49" s="39">
        <f t="shared" si="4"/>
        <v>0.01525076804</v>
      </c>
      <c r="H49" s="39">
        <f t="shared" si="5"/>
        <v>-0.0003095863625</v>
      </c>
      <c r="I49" s="39">
        <f t="shared" si="6"/>
        <v>0.0003095863625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17">
        <v>41395.0</v>
      </c>
      <c r="B50" s="18">
        <v>41.0</v>
      </c>
      <c r="C50" s="19">
        <v>399.81</v>
      </c>
      <c r="D50" s="34">
        <f t="shared" si="1"/>
        <v>0.229813</v>
      </c>
      <c r="E50" s="38">
        <f t="shared" si="2"/>
        <v>399.580187</v>
      </c>
      <c r="F50" s="39">
        <f t="shared" si="3"/>
        <v>0.229813</v>
      </c>
      <c r="G50" s="39">
        <f t="shared" si="4"/>
        <v>0.05281401497</v>
      </c>
      <c r="H50" s="39">
        <f t="shared" si="5"/>
        <v>0.0005748055326</v>
      </c>
      <c r="I50" s="39">
        <f t="shared" si="6"/>
        <v>0.0005748055326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17">
        <v>41426.0</v>
      </c>
      <c r="B51" s="18">
        <v>42.0</v>
      </c>
      <c r="C51" s="19">
        <v>399.35</v>
      </c>
      <c r="D51" s="34">
        <f t="shared" si="1"/>
        <v>0.250537</v>
      </c>
      <c r="E51" s="38">
        <f t="shared" si="2"/>
        <v>399.099463</v>
      </c>
      <c r="F51" s="39">
        <f t="shared" si="3"/>
        <v>0.250537</v>
      </c>
      <c r="G51" s="39">
        <f t="shared" si="4"/>
        <v>0.06276878837</v>
      </c>
      <c r="H51" s="39">
        <f t="shared" si="5"/>
        <v>0.0006273619632</v>
      </c>
      <c r="I51" s="39">
        <f t="shared" si="6"/>
        <v>0.0006273619632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17">
        <v>41456.0</v>
      </c>
      <c r="B52" s="18">
        <v>43.0</v>
      </c>
      <c r="C52" s="19">
        <v>397.39</v>
      </c>
      <c r="D52" s="34">
        <f t="shared" si="1"/>
        <v>-0.15361</v>
      </c>
      <c r="E52" s="38">
        <f t="shared" si="2"/>
        <v>397.54361</v>
      </c>
      <c r="F52" s="39">
        <f t="shared" si="3"/>
        <v>0.15361</v>
      </c>
      <c r="G52" s="39">
        <f t="shared" si="4"/>
        <v>0.0235960321</v>
      </c>
      <c r="H52" s="39">
        <f t="shared" si="5"/>
        <v>-0.0003865472206</v>
      </c>
      <c r="I52" s="39">
        <f t="shared" si="6"/>
        <v>0.0003865472206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17">
        <v>41487.0</v>
      </c>
      <c r="B53" s="18">
        <v>44.0</v>
      </c>
      <c r="C53" s="19">
        <v>395.21</v>
      </c>
      <c r="D53" s="34">
        <f t="shared" si="1"/>
        <v>-0.026331</v>
      </c>
      <c r="E53" s="38">
        <f t="shared" si="2"/>
        <v>395.236331</v>
      </c>
      <c r="F53" s="39">
        <f t="shared" si="3"/>
        <v>0.026331</v>
      </c>
      <c r="G53" s="39">
        <f t="shared" si="4"/>
        <v>0.000693321561</v>
      </c>
      <c r="H53" s="39">
        <f t="shared" si="5"/>
        <v>-0.00006662533843</v>
      </c>
      <c r="I53" s="39">
        <f t="shared" si="6"/>
        <v>0.00006662533843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17">
        <v>41518.0</v>
      </c>
      <c r="B54" s="18">
        <v>45.0</v>
      </c>
      <c r="C54" s="19">
        <v>393.92</v>
      </c>
      <c r="D54" s="34">
        <f t="shared" si="1"/>
        <v>-0.151232</v>
      </c>
      <c r="E54" s="38">
        <f t="shared" si="2"/>
        <v>394.071232</v>
      </c>
      <c r="F54" s="39">
        <f t="shared" si="3"/>
        <v>0.151232</v>
      </c>
      <c r="G54" s="39">
        <f t="shared" si="4"/>
        <v>0.02287111782</v>
      </c>
      <c r="H54" s="39">
        <f t="shared" si="5"/>
        <v>-0.0003839155158</v>
      </c>
      <c r="I54" s="39">
        <f t="shared" si="6"/>
        <v>0.0003839155158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17">
        <v>41548.0</v>
      </c>
      <c r="B55" s="18">
        <v>46.0</v>
      </c>
      <c r="C55" s="19">
        <v>394.06</v>
      </c>
      <c r="D55" s="34">
        <f t="shared" si="1"/>
        <v>0.163416</v>
      </c>
      <c r="E55" s="38">
        <f t="shared" si="2"/>
        <v>393.896584</v>
      </c>
      <c r="F55" s="39">
        <f t="shared" si="3"/>
        <v>0.163416</v>
      </c>
      <c r="G55" s="39">
        <f t="shared" si="4"/>
        <v>0.02670478906</v>
      </c>
      <c r="H55" s="39">
        <f t="shared" si="5"/>
        <v>0.0004146982693</v>
      </c>
      <c r="I55" s="39">
        <f t="shared" si="6"/>
        <v>0.0004146982693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17">
        <v>41579.0</v>
      </c>
      <c r="B56" s="18">
        <v>47.0</v>
      </c>
      <c r="C56" s="19">
        <v>395.64</v>
      </c>
      <c r="D56" s="34">
        <f t="shared" si="1"/>
        <v>-0.424344</v>
      </c>
      <c r="E56" s="38">
        <f t="shared" si="2"/>
        <v>396.064344</v>
      </c>
      <c r="F56" s="39">
        <f t="shared" si="3"/>
        <v>0.424344</v>
      </c>
      <c r="G56" s="39">
        <f t="shared" si="4"/>
        <v>0.1800678303</v>
      </c>
      <c r="H56" s="39">
        <f t="shared" si="5"/>
        <v>-0.001072550804</v>
      </c>
      <c r="I56" s="39">
        <f t="shared" si="6"/>
        <v>0.001072550804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17">
        <v>41609.0</v>
      </c>
      <c r="B57" s="18">
        <v>48.0</v>
      </c>
      <c r="C57" s="19">
        <v>397.24</v>
      </c>
      <c r="D57" s="34">
        <f t="shared" si="1"/>
        <v>-0.049829</v>
      </c>
      <c r="E57" s="38">
        <f t="shared" si="2"/>
        <v>397.289829</v>
      </c>
      <c r="F57" s="39">
        <f t="shared" si="3"/>
        <v>0.049829</v>
      </c>
      <c r="G57" s="39">
        <f t="shared" si="4"/>
        <v>0.002482929241</v>
      </c>
      <c r="H57" s="39">
        <f t="shared" si="5"/>
        <v>-0.0001254380224</v>
      </c>
      <c r="I57" s="39">
        <f t="shared" si="6"/>
        <v>0.0001254380224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17">
        <v>41640.0</v>
      </c>
      <c r="B58" s="18">
        <v>49.0</v>
      </c>
      <c r="C58" s="19">
        <v>398.12</v>
      </c>
      <c r="D58" s="34">
        <f t="shared" si="1"/>
        <v>0.3206511435</v>
      </c>
      <c r="E58" s="38">
        <f t="shared" si="2"/>
        <v>397.7993489</v>
      </c>
      <c r="F58" s="39">
        <f t="shared" si="3"/>
        <v>0.3206511435</v>
      </c>
      <c r="G58" s="39">
        <f t="shared" si="4"/>
        <v>0.1028171558</v>
      </c>
      <c r="H58" s="39">
        <f t="shared" si="5"/>
        <v>0.0008054133013</v>
      </c>
      <c r="I58" s="39">
        <f t="shared" si="6"/>
        <v>0.0008054133013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17">
        <v>41671.0</v>
      </c>
      <c r="B59" s="18">
        <v>50.0</v>
      </c>
      <c r="C59" s="19">
        <v>398.55</v>
      </c>
      <c r="D59" s="34">
        <f t="shared" si="1"/>
        <v>-0.2443453535</v>
      </c>
      <c r="E59" s="38">
        <f t="shared" si="2"/>
        <v>398.7943454</v>
      </c>
      <c r="F59" s="39">
        <f t="shared" si="3"/>
        <v>0.2443453535</v>
      </c>
      <c r="G59" s="39">
        <f t="shared" si="4"/>
        <v>0.05970465178</v>
      </c>
      <c r="H59" s="39">
        <f t="shared" si="5"/>
        <v>-0.0006130858198</v>
      </c>
      <c r="I59" s="39">
        <f t="shared" si="6"/>
        <v>0.0006130858198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17">
        <v>41699.0</v>
      </c>
      <c r="B60" s="18">
        <v>51.0</v>
      </c>
      <c r="C60" s="19">
        <v>399.98</v>
      </c>
      <c r="D60" s="34">
        <f t="shared" si="1"/>
        <v>0.200468723</v>
      </c>
      <c r="E60" s="38">
        <f t="shared" si="2"/>
        <v>399.7795313</v>
      </c>
      <c r="F60" s="39">
        <f t="shared" si="3"/>
        <v>0.200468723</v>
      </c>
      <c r="G60" s="39">
        <f t="shared" si="4"/>
        <v>0.0401877089</v>
      </c>
      <c r="H60" s="39">
        <f t="shared" si="5"/>
        <v>0.0005011968673</v>
      </c>
      <c r="I60" s="39">
        <f t="shared" si="6"/>
        <v>0.0005011968673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17">
        <v>41730.0</v>
      </c>
      <c r="B61" s="18">
        <v>52.0</v>
      </c>
      <c r="C61" s="19">
        <v>401.86</v>
      </c>
      <c r="D61" s="34">
        <f t="shared" si="1"/>
        <v>0.084477847</v>
      </c>
      <c r="E61" s="38">
        <f t="shared" si="2"/>
        <v>401.7755222</v>
      </c>
      <c r="F61" s="39">
        <f t="shared" si="3"/>
        <v>0.084477847</v>
      </c>
      <c r="G61" s="39">
        <f t="shared" si="4"/>
        <v>0.007136506634</v>
      </c>
      <c r="H61" s="39">
        <f t="shared" si="5"/>
        <v>0.0002102171079</v>
      </c>
      <c r="I61" s="39">
        <f t="shared" si="6"/>
        <v>0.0002102171079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17">
        <v>41760.0</v>
      </c>
      <c r="B62" s="18">
        <v>53.0</v>
      </c>
      <c r="C62" s="19">
        <v>402.45</v>
      </c>
      <c r="D62" s="34">
        <f t="shared" si="1"/>
        <v>0.1319551435</v>
      </c>
      <c r="E62" s="38">
        <f t="shared" si="2"/>
        <v>402.3180449</v>
      </c>
      <c r="F62" s="39">
        <f t="shared" si="3"/>
        <v>0.1319551435</v>
      </c>
      <c r="G62" s="39">
        <f t="shared" si="4"/>
        <v>0.0174121599</v>
      </c>
      <c r="H62" s="39">
        <f t="shared" si="5"/>
        <v>0.0003278795962</v>
      </c>
      <c r="I62" s="39">
        <f t="shared" si="6"/>
        <v>0.0003278795962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17">
        <v>41791.0</v>
      </c>
      <c r="B63" s="18">
        <v>54.0</v>
      </c>
      <c r="C63" s="19">
        <v>401.6</v>
      </c>
      <c r="D63" s="34">
        <f t="shared" si="1"/>
        <v>0.2416431815</v>
      </c>
      <c r="E63" s="38">
        <f t="shared" si="2"/>
        <v>401.3583568</v>
      </c>
      <c r="F63" s="39">
        <f t="shared" si="3"/>
        <v>0.2416431815</v>
      </c>
      <c r="G63" s="39">
        <f t="shared" si="4"/>
        <v>0.05839142717</v>
      </c>
      <c r="H63" s="39">
        <f t="shared" si="5"/>
        <v>0.0006017011492</v>
      </c>
      <c r="I63" s="39">
        <f t="shared" si="6"/>
        <v>0.0006017011492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17">
        <v>41821.0</v>
      </c>
      <c r="B64" s="18">
        <v>55.0</v>
      </c>
      <c r="C64" s="19">
        <v>399.17</v>
      </c>
      <c r="D64" s="34">
        <f t="shared" si="1"/>
        <v>-0.750310695</v>
      </c>
      <c r="E64" s="38">
        <f t="shared" si="2"/>
        <v>399.9203107</v>
      </c>
      <c r="F64" s="39">
        <f t="shared" si="3"/>
        <v>0.750310695</v>
      </c>
      <c r="G64" s="39">
        <f t="shared" si="4"/>
        <v>0.562966139</v>
      </c>
      <c r="H64" s="39">
        <f t="shared" si="5"/>
        <v>-0.001879677067</v>
      </c>
      <c r="I64" s="39">
        <f t="shared" si="6"/>
        <v>0.001879677067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17">
        <v>41852.0</v>
      </c>
      <c r="B65" s="18">
        <v>56.0</v>
      </c>
      <c r="C65" s="19">
        <v>396.74</v>
      </c>
      <c r="D65" s="34">
        <f t="shared" si="1"/>
        <v>0.0653658155</v>
      </c>
      <c r="E65" s="38">
        <f t="shared" si="2"/>
        <v>396.6746342</v>
      </c>
      <c r="F65" s="39">
        <f t="shared" si="3"/>
        <v>0.0653658155</v>
      </c>
      <c r="G65" s="39">
        <f t="shared" si="4"/>
        <v>0.004272689836</v>
      </c>
      <c r="H65" s="39">
        <f t="shared" si="5"/>
        <v>0.0001647573108</v>
      </c>
      <c r="I65" s="39">
        <f t="shared" si="6"/>
        <v>0.0001647573108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17">
        <v>41883.0</v>
      </c>
      <c r="B66" s="18">
        <v>57.0</v>
      </c>
      <c r="C66" s="19">
        <v>395.56</v>
      </c>
      <c r="D66" s="34">
        <f t="shared" si="1"/>
        <v>-0.403513584</v>
      </c>
      <c r="E66" s="38">
        <f t="shared" si="2"/>
        <v>395.9635136</v>
      </c>
      <c r="F66" s="39">
        <f t="shared" si="3"/>
        <v>0.403513584</v>
      </c>
      <c r="G66" s="39">
        <f t="shared" si="4"/>
        <v>0.1628232125</v>
      </c>
      <c r="H66" s="39">
        <f t="shared" si="5"/>
        <v>-0.001020107149</v>
      </c>
      <c r="I66" s="39">
        <f t="shared" si="6"/>
        <v>0.001020107149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17">
        <v>41913.0</v>
      </c>
      <c r="B67" s="18">
        <v>58.0</v>
      </c>
      <c r="C67" s="19">
        <v>395.89</v>
      </c>
      <c r="D67" s="34">
        <f t="shared" si="1"/>
        <v>0.008240892</v>
      </c>
      <c r="E67" s="38">
        <f t="shared" si="2"/>
        <v>395.8817591</v>
      </c>
      <c r="F67" s="39">
        <f t="shared" si="3"/>
        <v>0.008240892</v>
      </c>
      <c r="G67" s="39">
        <f t="shared" si="4"/>
        <v>0.00006791230096</v>
      </c>
      <c r="H67" s="39">
        <f t="shared" si="5"/>
        <v>0.00002081611559</v>
      </c>
      <c r="I67" s="39">
        <f t="shared" si="6"/>
        <v>0.00002081611559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17">
        <v>41944.0</v>
      </c>
      <c r="B68" s="18">
        <v>59.0</v>
      </c>
      <c r="C68" s="19">
        <v>397.73</v>
      </c>
      <c r="D68" s="34">
        <f t="shared" si="1"/>
        <v>-0.229805228</v>
      </c>
      <c r="E68" s="38">
        <f t="shared" si="2"/>
        <v>397.9598052</v>
      </c>
      <c r="F68" s="39">
        <f t="shared" si="3"/>
        <v>0.229805228</v>
      </c>
      <c r="G68" s="39">
        <f t="shared" si="4"/>
        <v>0.05281044282</v>
      </c>
      <c r="H68" s="39">
        <f t="shared" si="5"/>
        <v>-0.0005777920398</v>
      </c>
      <c r="I68" s="39">
        <f t="shared" si="6"/>
        <v>0.0005777920398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17">
        <v>41974.0</v>
      </c>
      <c r="B69" s="18">
        <v>60.0</v>
      </c>
      <c r="C69" s="19">
        <v>399.49</v>
      </c>
      <c r="D69" s="34">
        <f t="shared" si="1"/>
        <v>0.0515632645</v>
      </c>
      <c r="E69" s="38">
        <f t="shared" si="2"/>
        <v>399.4384367</v>
      </c>
      <c r="F69" s="39">
        <f t="shared" si="3"/>
        <v>0.0515632645</v>
      </c>
      <c r="G69" s="39">
        <f t="shared" si="4"/>
        <v>0.002658770246</v>
      </c>
      <c r="H69" s="39">
        <f t="shared" si="5"/>
        <v>0.000129072729</v>
      </c>
      <c r="I69" s="39">
        <f t="shared" si="6"/>
        <v>0.000129072729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17">
        <v>42005.0</v>
      </c>
      <c r="B70" s="18">
        <v>61.0</v>
      </c>
      <c r="C70" s="19">
        <v>400.29</v>
      </c>
      <c r="D70" s="34">
        <f t="shared" si="1"/>
        <v>0.5694662014</v>
      </c>
      <c r="E70" s="38">
        <f t="shared" si="2"/>
        <v>399.7205338</v>
      </c>
      <c r="F70" s="39">
        <f t="shared" si="3"/>
        <v>0.5694662014</v>
      </c>
      <c r="G70" s="39">
        <f t="shared" si="4"/>
        <v>0.3242917545</v>
      </c>
      <c r="H70" s="39">
        <f t="shared" si="5"/>
        <v>0.001422634094</v>
      </c>
      <c r="I70" s="39">
        <f t="shared" si="6"/>
        <v>0.001422634094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17">
        <v>42036.0</v>
      </c>
      <c r="B71" s="18">
        <v>62.0</v>
      </c>
      <c r="C71" s="19">
        <v>400.62</v>
      </c>
      <c r="D71" s="34">
        <f t="shared" si="1"/>
        <v>-0.0121957328</v>
      </c>
      <c r="E71" s="38">
        <f t="shared" si="2"/>
        <v>400.6321957</v>
      </c>
      <c r="F71" s="39">
        <f t="shared" si="3"/>
        <v>0.0121957328</v>
      </c>
      <c r="G71" s="39">
        <f t="shared" si="4"/>
        <v>0.0001487358985</v>
      </c>
      <c r="H71" s="39">
        <f t="shared" si="5"/>
        <v>-0.00003044214667</v>
      </c>
      <c r="I71" s="39">
        <f t="shared" si="6"/>
        <v>0.00003044214667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17">
        <v>42064.0</v>
      </c>
      <c r="B72" s="18">
        <v>63.0</v>
      </c>
      <c r="C72" s="19">
        <v>401.82</v>
      </c>
      <c r="D72" s="34">
        <f t="shared" si="1"/>
        <v>-0.07137062981</v>
      </c>
      <c r="E72" s="38">
        <f t="shared" si="2"/>
        <v>401.8913706</v>
      </c>
      <c r="F72" s="39">
        <f t="shared" si="3"/>
        <v>0.07137062981</v>
      </c>
      <c r="G72" s="39">
        <f t="shared" si="4"/>
        <v>0.0050937668</v>
      </c>
      <c r="H72" s="39">
        <f t="shared" si="5"/>
        <v>-0.0001776184108</v>
      </c>
      <c r="I72" s="39">
        <f t="shared" si="6"/>
        <v>0.0001776184108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17">
        <v>42095.0</v>
      </c>
      <c r="B73" s="18">
        <v>64.0</v>
      </c>
      <c r="C73" s="19">
        <v>403.91</v>
      </c>
      <c r="D73" s="34">
        <f t="shared" si="1"/>
        <v>0.335838841</v>
      </c>
      <c r="E73" s="38">
        <f t="shared" si="2"/>
        <v>403.5741612</v>
      </c>
      <c r="F73" s="39">
        <f t="shared" si="3"/>
        <v>0.335838841</v>
      </c>
      <c r="G73" s="39">
        <f t="shared" si="4"/>
        <v>0.1127877271</v>
      </c>
      <c r="H73" s="39">
        <f t="shared" si="5"/>
        <v>0.0008314694883</v>
      </c>
      <c r="I73" s="39">
        <f t="shared" si="6"/>
        <v>0.0008314694883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17">
        <v>42125.0</v>
      </c>
      <c r="B74" s="18">
        <v>65.0</v>
      </c>
      <c r="C74" s="19">
        <v>404.37</v>
      </c>
      <c r="D74" s="34">
        <f t="shared" si="1"/>
        <v>-0.2410880506</v>
      </c>
      <c r="E74" s="38">
        <f t="shared" si="2"/>
        <v>404.6110881</v>
      </c>
      <c r="F74" s="39">
        <f t="shared" si="3"/>
        <v>0.2410880506</v>
      </c>
      <c r="G74" s="39">
        <f t="shared" si="4"/>
        <v>0.05812344814</v>
      </c>
      <c r="H74" s="39">
        <f t="shared" si="5"/>
        <v>-0.0005962065697</v>
      </c>
      <c r="I74" s="39">
        <f t="shared" si="6"/>
        <v>0.0005962065697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17">
        <v>42156.0</v>
      </c>
      <c r="B75" s="18">
        <v>66.0</v>
      </c>
      <c r="C75" s="19">
        <v>403.13</v>
      </c>
      <c r="D75" s="34">
        <f t="shared" si="1"/>
        <v>0.1052680777</v>
      </c>
      <c r="E75" s="38">
        <f t="shared" si="2"/>
        <v>403.0247319</v>
      </c>
      <c r="F75" s="39">
        <f t="shared" si="3"/>
        <v>0.1052680777</v>
      </c>
      <c r="G75" s="39">
        <f t="shared" si="4"/>
        <v>0.01108136818</v>
      </c>
      <c r="H75" s="39">
        <f t="shared" si="5"/>
        <v>0.0002611268764</v>
      </c>
      <c r="I75" s="39">
        <f t="shared" si="6"/>
        <v>0.0002611268764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17">
        <v>42186.0</v>
      </c>
      <c r="B76" s="18">
        <v>67.0</v>
      </c>
      <c r="C76" s="19">
        <v>401.16</v>
      </c>
      <c r="D76" s="34">
        <f t="shared" si="1"/>
        <v>-0.3698442854</v>
      </c>
      <c r="E76" s="38">
        <f t="shared" si="2"/>
        <v>401.5298443</v>
      </c>
      <c r="F76" s="39">
        <f t="shared" si="3"/>
        <v>0.3698442854</v>
      </c>
      <c r="G76" s="39">
        <f t="shared" si="4"/>
        <v>0.1367847954</v>
      </c>
      <c r="H76" s="39">
        <f t="shared" si="5"/>
        <v>-0.0009219370959</v>
      </c>
      <c r="I76" s="39">
        <f t="shared" si="6"/>
        <v>0.0009219370959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17">
        <v>42217.0</v>
      </c>
      <c r="B77" s="18">
        <v>68.0</v>
      </c>
      <c r="C77" s="19">
        <v>399.14</v>
      </c>
      <c r="D77" s="34">
        <f t="shared" si="1"/>
        <v>0.1152514753</v>
      </c>
      <c r="E77" s="38">
        <f t="shared" si="2"/>
        <v>399.0247485</v>
      </c>
      <c r="F77" s="39">
        <f t="shared" si="3"/>
        <v>0.1152514753</v>
      </c>
      <c r="G77" s="39">
        <f t="shared" si="4"/>
        <v>0.01328290255</v>
      </c>
      <c r="H77" s="39">
        <f t="shared" si="5"/>
        <v>0.0002887494996</v>
      </c>
      <c r="I77" s="39">
        <f t="shared" si="6"/>
        <v>0.0002887494996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17">
        <v>42248.0</v>
      </c>
      <c r="B78" s="18">
        <v>69.0</v>
      </c>
      <c r="C78" s="19">
        <v>397.89</v>
      </c>
      <c r="D78" s="34">
        <f t="shared" si="1"/>
        <v>-0.1429413096</v>
      </c>
      <c r="E78" s="38">
        <f t="shared" si="2"/>
        <v>398.0329413</v>
      </c>
      <c r="F78" s="39">
        <f t="shared" si="3"/>
        <v>0.1429413096</v>
      </c>
      <c r="G78" s="39">
        <f t="shared" si="4"/>
        <v>0.02043221799</v>
      </c>
      <c r="H78" s="39">
        <f t="shared" si="5"/>
        <v>-0.0003592483088</v>
      </c>
      <c r="I78" s="39">
        <f t="shared" si="6"/>
        <v>0.0003592483088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17">
        <v>42278.0</v>
      </c>
      <c r="B79" s="18">
        <v>70.0</v>
      </c>
      <c r="C79" s="19">
        <v>398.46</v>
      </c>
      <c r="D79" s="34">
        <f t="shared" si="1"/>
        <v>0.3547263978</v>
      </c>
      <c r="E79" s="38">
        <f t="shared" si="2"/>
        <v>398.1052736</v>
      </c>
      <c r="F79" s="39">
        <f t="shared" si="3"/>
        <v>0.3547263978</v>
      </c>
      <c r="G79" s="39">
        <f t="shared" si="4"/>
        <v>0.1258308173</v>
      </c>
      <c r="H79" s="39">
        <f t="shared" si="5"/>
        <v>0.0008902434316</v>
      </c>
      <c r="I79" s="39">
        <f t="shared" si="6"/>
        <v>0.0008902434316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17">
        <v>42309.0</v>
      </c>
      <c r="B80" s="18">
        <v>71.0</v>
      </c>
      <c r="C80" s="19">
        <v>400.19</v>
      </c>
      <c r="D80" s="34">
        <f t="shared" si="1"/>
        <v>-0.4197723812</v>
      </c>
      <c r="E80" s="38">
        <f t="shared" si="2"/>
        <v>400.6097724</v>
      </c>
      <c r="F80" s="39">
        <f t="shared" si="3"/>
        <v>0.4197723812</v>
      </c>
      <c r="G80" s="39">
        <f t="shared" si="4"/>
        <v>0.176208852</v>
      </c>
      <c r="H80" s="39">
        <f t="shared" si="5"/>
        <v>-0.00104893271</v>
      </c>
      <c r="I80" s="39">
        <f t="shared" si="6"/>
        <v>0.00104893271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17">
        <v>42339.0</v>
      </c>
      <c r="B81" s="18">
        <v>72.0</v>
      </c>
      <c r="C81" s="19">
        <v>401.76</v>
      </c>
      <c r="D81" s="34">
        <f t="shared" si="1"/>
        <v>0.3005021782</v>
      </c>
      <c r="E81" s="38">
        <f t="shared" si="2"/>
        <v>401.4594978</v>
      </c>
      <c r="F81" s="39">
        <f t="shared" si="3"/>
        <v>0.3005021782</v>
      </c>
      <c r="G81" s="39">
        <f t="shared" si="4"/>
        <v>0.0903015591</v>
      </c>
      <c r="H81" s="39">
        <f t="shared" si="5"/>
        <v>0.0007479644021</v>
      </c>
      <c r="I81" s="39">
        <f t="shared" si="6"/>
        <v>0.0007479644021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17">
        <v>42370.0</v>
      </c>
      <c r="B82" s="18">
        <v>73.0</v>
      </c>
      <c r="C82" s="19">
        <v>402.95</v>
      </c>
      <c r="D82" s="34">
        <f t="shared" si="1"/>
        <v>0.6536313023</v>
      </c>
      <c r="E82" s="38">
        <f t="shared" si="2"/>
        <v>402.2963687</v>
      </c>
      <c r="F82" s="39">
        <f t="shared" si="3"/>
        <v>0.6536313023</v>
      </c>
      <c r="G82" s="39">
        <f t="shared" si="4"/>
        <v>0.4272338794</v>
      </c>
      <c r="H82" s="39">
        <f t="shared" si="5"/>
        <v>0.001622115157</v>
      </c>
      <c r="I82" s="39">
        <f t="shared" si="6"/>
        <v>0.001622115157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17">
        <v>42401.0</v>
      </c>
      <c r="B83" s="18">
        <v>74.0</v>
      </c>
      <c r="C83" s="19">
        <v>403.86</v>
      </c>
      <c r="D83" s="34">
        <f t="shared" si="1"/>
        <v>0.2834162914</v>
      </c>
      <c r="E83" s="38">
        <f t="shared" si="2"/>
        <v>403.5765837</v>
      </c>
      <c r="F83" s="39">
        <f t="shared" si="3"/>
        <v>0.2834162914</v>
      </c>
      <c r="G83" s="39">
        <f t="shared" si="4"/>
        <v>0.08032479424</v>
      </c>
      <c r="H83" s="39">
        <f t="shared" si="5"/>
        <v>0.000701768661</v>
      </c>
      <c r="I83" s="39">
        <f t="shared" si="6"/>
        <v>0.000701768661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17">
        <v>42430.0</v>
      </c>
      <c r="B84" s="18">
        <v>75.0</v>
      </c>
      <c r="C84" s="19">
        <v>405.46</v>
      </c>
      <c r="D84" s="34">
        <f t="shared" si="1"/>
        <v>0.5876852389</v>
      </c>
      <c r="E84" s="38">
        <f t="shared" si="2"/>
        <v>404.8723148</v>
      </c>
      <c r="F84" s="39">
        <f t="shared" si="3"/>
        <v>0.5876852389</v>
      </c>
      <c r="G84" s="39">
        <f t="shared" si="4"/>
        <v>0.34537394</v>
      </c>
      <c r="H84" s="39">
        <f t="shared" si="5"/>
        <v>0.0014494284</v>
      </c>
      <c r="I84" s="39">
        <f t="shared" si="6"/>
        <v>0.0014494284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7">
        <v>42461.0</v>
      </c>
      <c r="B85" s="18">
        <v>76.0</v>
      </c>
      <c r="C85" s="19">
        <v>407.58</v>
      </c>
      <c r="D85" s="34">
        <f t="shared" si="1"/>
        <v>0.5447709605</v>
      </c>
      <c r="E85" s="38">
        <f t="shared" si="2"/>
        <v>407.035229</v>
      </c>
      <c r="F85" s="39">
        <f t="shared" si="3"/>
        <v>0.5447709605</v>
      </c>
      <c r="G85" s="39">
        <f t="shared" si="4"/>
        <v>0.2967753994</v>
      </c>
      <c r="H85" s="39">
        <f t="shared" si="5"/>
        <v>0.001336598853</v>
      </c>
      <c r="I85" s="39">
        <f t="shared" si="6"/>
        <v>0.001336598853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17">
        <v>42491.0</v>
      </c>
      <c r="B86" s="18">
        <v>77.0</v>
      </c>
      <c r="C86" s="19">
        <v>408.12</v>
      </c>
      <c r="D86" s="34">
        <f t="shared" si="1"/>
        <v>0.2398259052</v>
      </c>
      <c r="E86" s="38">
        <f t="shared" si="2"/>
        <v>407.8801741</v>
      </c>
      <c r="F86" s="39">
        <f t="shared" si="3"/>
        <v>0.2398259052</v>
      </c>
      <c r="G86" s="39">
        <f t="shared" si="4"/>
        <v>0.05751646482</v>
      </c>
      <c r="H86" s="39">
        <f t="shared" si="5"/>
        <v>0.0005876357572</v>
      </c>
      <c r="I86" s="39">
        <f t="shared" si="6"/>
        <v>0.0005876357572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17">
        <v>42522.0</v>
      </c>
      <c r="B87" s="18">
        <v>78.0</v>
      </c>
      <c r="C87" s="19">
        <v>406.82</v>
      </c>
      <c r="D87" s="34">
        <f t="shared" si="1"/>
        <v>0.2189608591</v>
      </c>
      <c r="E87" s="38">
        <f t="shared" si="2"/>
        <v>406.6010391</v>
      </c>
      <c r="F87" s="39">
        <f t="shared" si="3"/>
        <v>0.2189608591</v>
      </c>
      <c r="G87" s="39">
        <f t="shared" si="4"/>
        <v>0.04794385784</v>
      </c>
      <c r="H87" s="39">
        <f t="shared" si="5"/>
        <v>0.0005382254047</v>
      </c>
      <c r="I87" s="39">
        <f t="shared" si="6"/>
        <v>0.0005382254047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17">
        <v>42552.0</v>
      </c>
      <c r="B88" s="18">
        <v>79.0</v>
      </c>
      <c r="C88" s="19">
        <v>404.6</v>
      </c>
      <c r="D88" s="34">
        <f t="shared" si="1"/>
        <v>-0.4356773688</v>
      </c>
      <c r="E88" s="38">
        <f t="shared" si="2"/>
        <v>405.0356774</v>
      </c>
      <c r="F88" s="39">
        <f t="shared" si="3"/>
        <v>0.4356773688</v>
      </c>
      <c r="G88" s="39">
        <f t="shared" si="4"/>
        <v>0.1898147697</v>
      </c>
      <c r="H88" s="39">
        <f t="shared" si="5"/>
        <v>-0.001076810106</v>
      </c>
      <c r="I88" s="39">
        <f t="shared" si="6"/>
        <v>0.001076810106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17">
        <v>42583.0</v>
      </c>
      <c r="B89" s="18">
        <v>80.0</v>
      </c>
      <c r="C89" s="19">
        <v>401.91</v>
      </c>
      <c r="D89" s="34">
        <f t="shared" si="1"/>
        <v>-0.5314998636</v>
      </c>
      <c r="E89" s="38">
        <f t="shared" si="2"/>
        <v>402.4414999</v>
      </c>
      <c r="F89" s="39">
        <f t="shared" si="3"/>
        <v>0.5314998636</v>
      </c>
      <c r="G89" s="39">
        <f t="shared" si="4"/>
        <v>0.282492105</v>
      </c>
      <c r="H89" s="39">
        <f t="shared" si="5"/>
        <v>-0.001322435032</v>
      </c>
      <c r="I89" s="39">
        <f t="shared" si="6"/>
        <v>0.001322435032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17">
        <v>42614.0</v>
      </c>
      <c r="B90" s="18">
        <v>81.0</v>
      </c>
      <c r="C90" s="19">
        <v>400.44</v>
      </c>
      <c r="D90" s="34">
        <f t="shared" si="1"/>
        <v>-0.3604752468</v>
      </c>
      <c r="E90" s="38">
        <f t="shared" si="2"/>
        <v>400.8004752</v>
      </c>
      <c r="F90" s="39">
        <f t="shared" si="3"/>
        <v>0.3604752468</v>
      </c>
      <c r="G90" s="39">
        <f t="shared" si="4"/>
        <v>0.1299424035</v>
      </c>
      <c r="H90" s="39">
        <f t="shared" si="5"/>
        <v>-0.0009001978992</v>
      </c>
      <c r="I90" s="39">
        <f t="shared" si="6"/>
        <v>0.0009001978992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17">
        <v>42644.0</v>
      </c>
      <c r="B91" s="18">
        <v>82.0</v>
      </c>
      <c r="C91" s="19">
        <v>401.69</v>
      </c>
      <c r="D91" s="34">
        <f t="shared" si="1"/>
        <v>0.4752654405</v>
      </c>
      <c r="E91" s="38">
        <f t="shared" si="2"/>
        <v>401.2147346</v>
      </c>
      <c r="F91" s="39">
        <f t="shared" si="3"/>
        <v>0.4752654405</v>
      </c>
      <c r="G91" s="39">
        <f t="shared" si="4"/>
        <v>0.2258772389</v>
      </c>
      <c r="H91" s="39">
        <f t="shared" si="5"/>
        <v>0.00118316473</v>
      </c>
      <c r="I91" s="39">
        <f t="shared" si="6"/>
        <v>0.00118316473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17">
        <v>42675.0</v>
      </c>
      <c r="B92" s="18">
        <v>83.0</v>
      </c>
      <c r="C92" s="19">
        <v>403.74</v>
      </c>
      <c r="D92" s="34">
        <f t="shared" si="1"/>
        <v>-0.3598582704</v>
      </c>
      <c r="E92" s="38">
        <f t="shared" si="2"/>
        <v>404.0998583</v>
      </c>
      <c r="F92" s="39">
        <f t="shared" si="3"/>
        <v>0.3598582704</v>
      </c>
      <c r="G92" s="39">
        <f t="shared" si="4"/>
        <v>0.1294979748</v>
      </c>
      <c r="H92" s="39">
        <f t="shared" si="5"/>
        <v>-0.0008913119096</v>
      </c>
      <c r="I92" s="39">
        <f t="shared" si="6"/>
        <v>0.0008913119096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17">
        <v>42705.0</v>
      </c>
      <c r="B93" s="18">
        <v>84.0</v>
      </c>
      <c r="C93" s="19">
        <v>404.9</v>
      </c>
      <c r="D93" s="34">
        <f t="shared" si="1"/>
        <v>0.08457436603</v>
      </c>
      <c r="E93" s="38">
        <f t="shared" si="2"/>
        <v>404.8154256</v>
      </c>
      <c r="F93" s="39">
        <f t="shared" si="3"/>
        <v>0.08457436603</v>
      </c>
      <c r="G93" s="39">
        <f t="shared" si="4"/>
        <v>0.00715282339</v>
      </c>
      <c r="H93" s="39">
        <f t="shared" si="5"/>
        <v>0.0002088771698</v>
      </c>
      <c r="I93" s="39">
        <f t="shared" si="6"/>
        <v>0.0002088771698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17">
        <v>42736.0</v>
      </c>
      <c r="B94" s="18">
        <v>85.0</v>
      </c>
      <c r="C94" s="19">
        <v>405.79</v>
      </c>
      <c r="D94" s="34">
        <f t="shared" si="1"/>
        <v>0.4501303989</v>
      </c>
      <c r="E94" s="38">
        <f t="shared" si="2"/>
        <v>405.3398696</v>
      </c>
      <c r="F94" s="39">
        <f t="shared" si="3"/>
        <v>0.4501303989</v>
      </c>
      <c r="G94" s="39">
        <f t="shared" si="4"/>
        <v>0.2026173761</v>
      </c>
      <c r="H94" s="39">
        <f t="shared" si="5"/>
        <v>0.001109269324</v>
      </c>
      <c r="I94" s="39">
        <f t="shared" si="6"/>
        <v>0.001109269324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17">
        <v>42767.0</v>
      </c>
      <c r="B95" s="18">
        <v>86.0</v>
      </c>
      <c r="C95" s="19">
        <v>406.51</v>
      </c>
      <c r="D95" s="34">
        <f t="shared" si="1"/>
        <v>0.08487600431</v>
      </c>
      <c r="E95" s="38">
        <f t="shared" si="2"/>
        <v>406.425124</v>
      </c>
      <c r="F95" s="39">
        <f t="shared" si="3"/>
        <v>0.08487600431</v>
      </c>
      <c r="G95" s="39">
        <f t="shared" si="4"/>
        <v>0.007203936108</v>
      </c>
      <c r="H95" s="39">
        <f t="shared" si="5"/>
        <v>0.0002087919222</v>
      </c>
      <c r="I95" s="39">
        <f t="shared" si="6"/>
        <v>0.0002087919222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17">
        <v>42795.0</v>
      </c>
      <c r="B96" s="18">
        <v>87.0</v>
      </c>
      <c r="C96" s="19">
        <v>407.57</v>
      </c>
      <c r="D96" s="34">
        <f t="shared" si="1"/>
        <v>-0.03743359165</v>
      </c>
      <c r="E96" s="38">
        <f t="shared" si="2"/>
        <v>407.6074336</v>
      </c>
      <c r="F96" s="39">
        <f t="shared" si="3"/>
        <v>0.03743359165</v>
      </c>
      <c r="G96" s="39">
        <f t="shared" si="4"/>
        <v>0.001401273784</v>
      </c>
      <c r="H96" s="39">
        <f t="shared" si="5"/>
        <v>-0.0000918457974</v>
      </c>
      <c r="I96" s="39">
        <f t="shared" si="6"/>
        <v>0.0000918457974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17">
        <v>42826.0</v>
      </c>
      <c r="B97" s="18">
        <v>88.0</v>
      </c>
      <c r="C97" s="19">
        <v>409.22</v>
      </c>
      <c r="D97" s="34">
        <f t="shared" si="1"/>
        <v>-0.06496983835</v>
      </c>
      <c r="E97" s="38">
        <f t="shared" si="2"/>
        <v>409.2849698</v>
      </c>
      <c r="F97" s="39">
        <f t="shared" si="3"/>
        <v>0.06496983835</v>
      </c>
      <c r="G97" s="39">
        <f t="shared" si="4"/>
        <v>0.004221079896</v>
      </c>
      <c r="H97" s="39">
        <f t="shared" si="5"/>
        <v>-0.0001587650612</v>
      </c>
      <c r="I97" s="39">
        <f t="shared" si="6"/>
        <v>0.0001587650612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17">
        <v>42856.0</v>
      </c>
      <c r="B98" s="18">
        <v>89.0</v>
      </c>
      <c r="C98" s="19">
        <v>410.0</v>
      </c>
      <c r="D98" s="34">
        <f t="shared" si="1"/>
        <v>-0.05701477109</v>
      </c>
      <c r="E98" s="38">
        <f t="shared" si="2"/>
        <v>410.0570148</v>
      </c>
      <c r="F98" s="39">
        <f t="shared" si="3"/>
        <v>0.05701477109</v>
      </c>
      <c r="G98" s="39">
        <f t="shared" si="4"/>
        <v>0.003250684122</v>
      </c>
      <c r="H98" s="39">
        <f t="shared" si="5"/>
        <v>-0.0001390604173</v>
      </c>
      <c r="I98" s="39">
        <f t="shared" si="6"/>
        <v>0.0001390604173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17">
        <v>42887.0</v>
      </c>
      <c r="B99" s="18">
        <v>90.0</v>
      </c>
      <c r="C99" s="19">
        <v>408.94</v>
      </c>
      <c r="D99" s="34">
        <f t="shared" si="1"/>
        <v>-0.03245463706</v>
      </c>
      <c r="E99" s="38">
        <f t="shared" si="2"/>
        <v>408.9724546</v>
      </c>
      <c r="F99" s="39">
        <f t="shared" si="3"/>
        <v>0.03245463706</v>
      </c>
      <c r="G99" s="39">
        <f t="shared" si="4"/>
        <v>0.001053303467</v>
      </c>
      <c r="H99" s="39">
        <f t="shared" si="5"/>
        <v>-0.00007936283334</v>
      </c>
      <c r="I99" s="39">
        <f t="shared" si="6"/>
        <v>0.00007936283334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17">
        <v>42917.0</v>
      </c>
      <c r="B100" s="18">
        <v>91.0</v>
      </c>
      <c r="C100" s="19">
        <v>407.18</v>
      </c>
      <c r="D100" s="34">
        <f t="shared" si="1"/>
        <v>0.1394287197</v>
      </c>
      <c r="E100" s="38">
        <f t="shared" si="2"/>
        <v>407.0405713</v>
      </c>
      <c r="F100" s="39">
        <f t="shared" si="3"/>
        <v>0.1394287197</v>
      </c>
      <c r="G100" s="39">
        <f t="shared" si="4"/>
        <v>0.01944036788</v>
      </c>
      <c r="H100" s="39">
        <f t="shared" si="5"/>
        <v>0.0003424252658</v>
      </c>
      <c r="I100" s="39">
        <f t="shared" si="6"/>
        <v>0.0003424252658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17">
        <v>42948.0</v>
      </c>
      <c r="B101" s="18">
        <v>92.0</v>
      </c>
      <c r="C101" s="19">
        <v>405.09</v>
      </c>
      <c r="D101" s="34">
        <f t="shared" si="1"/>
        <v>-0.0621724202</v>
      </c>
      <c r="E101" s="38">
        <f t="shared" si="2"/>
        <v>405.1521724</v>
      </c>
      <c r="F101" s="39">
        <f t="shared" si="3"/>
        <v>0.0621724202</v>
      </c>
      <c r="G101" s="39">
        <f t="shared" si="4"/>
        <v>0.003865409834</v>
      </c>
      <c r="H101" s="39">
        <f t="shared" si="5"/>
        <v>-0.0001534780424</v>
      </c>
      <c r="I101" s="39">
        <f t="shared" si="6"/>
        <v>0.0001534780424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17">
        <v>42979.0</v>
      </c>
      <c r="B102" s="18">
        <v>93.0</v>
      </c>
      <c r="C102" s="19">
        <v>403.33</v>
      </c>
      <c r="D102" s="34">
        <f t="shared" si="1"/>
        <v>-0.2835525106</v>
      </c>
      <c r="E102" s="38">
        <f t="shared" si="2"/>
        <v>403.6135525</v>
      </c>
      <c r="F102" s="39">
        <f t="shared" si="3"/>
        <v>0.2835525106</v>
      </c>
      <c r="G102" s="39">
        <f t="shared" si="4"/>
        <v>0.08040202628</v>
      </c>
      <c r="H102" s="39">
        <f t="shared" si="5"/>
        <v>-0.0007030285638</v>
      </c>
      <c r="I102" s="39">
        <f t="shared" si="6"/>
        <v>0.0007030285638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17">
        <v>43009.0</v>
      </c>
      <c r="B103" s="18">
        <v>94.0</v>
      </c>
      <c r="C103" s="19">
        <v>403.66</v>
      </c>
      <c r="D103" s="34">
        <f t="shared" si="1"/>
        <v>0.1734673599</v>
      </c>
      <c r="E103" s="38">
        <f t="shared" si="2"/>
        <v>403.4865326</v>
      </c>
      <c r="F103" s="39">
        <f t="shared" si="3"/>
        <v>0.1734673599</v>
      </c>
      <c r="G103" s="39">
        <f t="shared" si="4"/>
        <v>0.03009092495</v>
      </c>
      <c r="H103" s="39">
        <f t="shared" si="5"/>
        <v>0.0004297363125</v>
      </c>
      <c r="I103" s="39">
        <f t="shared" si="6"/>
        <v>0.0004297363125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17">
        <v>43040.0</v>
      </c>
      <c r="B104" s="18">
        <v>95.0</v>
      </c>
      <c r="C104" s="19">
        <v>405.46</v>
      </c>
      <c r="D104" s="34">
        <f t="shared" si="1"/>
        <v>-0.502389383</v>
      </c>
      <c r="E104" s="38">
        <f t="shared" si="2"/>
        <v>405.9623894</v>
      </c>
      <c r="F104" s="39">
        <f t="shared" si="3"/>
        <v>0.502389383</v>
      </c>
      <c r="G104" s="39">
        <f t="shared" si="4"/>
        <v>0.2523950921</v>
      </c>
      <c r="H104" s="39">
        <f t="shared" si="5"/>
        <v>-0.001239060285</v>
      </c>
      <c r="I104" s="39">
        <f t="shared" si="6"/>
        <v>0.001239060285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17">
        <v>43070.0</v>
      </c>
      <c r="B105" s="18">
        <v>96.0</v>
      </c>
      <c r="C105" s="19">
        <v>406.9</v>
      </c>
      <c r="D105" s="34">
        <f t="shared" si="1"/>
        <v>0.06119975435</v>
      </c>
      <c r="E105" s="38">
        <f t="shared" si="2"/>
        <v>406.8388002</v>
      </c>
      <c r="F105" s="39">
        <f t="shared" si="3"/>
        <v>0.06119975435</v>
      </c>
      <c r="G105" s="39">
        <f t="shared" si="4"/>
        <v>0.003745409932</v>
      </c>
      <c r="H105" s="39">
        <f t="shared" si="5"/>
        <v>0.0001504049013</v>
      </c>
      <c r="I105" s="39">
        <f t="shared" si="6"/>
        <v>0.0001504049013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17">
        <v>43101.0</v>
      </c>
      <c r="B106" s="18">
        <v>97.0</v>
      </c>
      <c r="C106" s="19">
        <v>408.1</v>
      </c>
      <c r="D106" s="34">
        <f t="shared" si="1"/>
        <v>0.5233980214</v>
      </c>
      <c r="E106" s="38">
        <f t="shared" si="2"/>
        <v>407.576602</v>
      </c>
      <c r="F106" s="39">
        <f t="shared" si="3"/>
        <v>0.5233980214</v>
      </c>
      <c r="G106" s="39">
        <f t="shared" si="4"/>
        <v>0.2739454888</v>
      </c>
      <c r="H106" s="39">
        <f t="shared" si="5"/>
        <v>0.001282523944</v>
      </c>
      <c r="I106" s="39">
        <f t="shared" si="6"/>
        <v>0.001282523944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17">
        <v>43132.0</v>
      </c>
      <c r="B107" s="18">
        <v>98.0</v>
      </c>
      <c r="C107" s="19">
        <v>408.83</v>
      </c>
      <c r="D107" s="34">
        <f t="shared" si="1"/>
        <v>-0.08763854436</v>
      </c>
      <c r="E107" s="38">
        <f t="shared" si="2"/>
        <v>408.9176385</v>
      </c>
      <c r="F107" s="39">
        <f t="shared" si="3"/>
        <v>0.08763854436</v>
      </c>
      <c r="G107" s="39">
        <f t="shared" si="4"/>
        <v>0.007680514457</v>
      </c>
      <c r="H107" s="39">
        <f t="shared" si="5"/>
        <v>-0.0002143642696</v>
      </c>
      <c r="I107" s="39">
        <f t="shared" si="6"/>
        <v>0.0002143642696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17">
        <v>43160.0</v>
      </c>
      <c r="B108" s="18">
        <v>99.0</v>
      </c>
      <c r="C108" s="19">
        <v>409.57</v>
      </c>
      <c r="D108" s="34">
        <f t="shared" si="1"/>
        <v>-0.1277604762</v>
      </c>
      <c r="E108" s="38">
        <f t="shared" si="2"/>
        <v>409.6977605</v>
      </c>
      <c r="F108" s="39">
        <f t="shared" si="3"/>
        <v>0.1277604762</v>
      </c>
      <c r="G108" s="39">
        <f t="shared" si="4"/>
        <v>0.01632273928</v>
      </c>
      <c r="H108" s="39">
        <f t="shared" si="5"/>
        <v>-0.0003119380721</v>
      </c>
      <c r="I108" s="39">
        <f t="shared" si="6"/>
        <v>0.0003119380721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17">
        <v>43191.0</v>
      </c>
      <c r="B109" s="18">
        <v>100.0</v>
      </c>
      <c r="C109" s="19">
        <v>411.03</v>
      </c>
      <c r="D109" s="34">
        <f t="shared" si="1"/>
        <v>-0.01760503423</v>
      </c>
      <c r="E109" s="38">
        <f t="shared" si="2"/>
        <v>411.047605</v>
      </c>
      <c r="F109" s="39">
        <f t="shared" si="3"/>
        <v>0.01760503423</v>
      </c>
      <c r="G109" s="39">
        <f t="shared" si="4"/>
        <v>0.0003099372301</v>
      </c>
      <c r="H109" s="39">
        <f t="shared" si="5"/>
        <v>-0.00004283150676</v>
      </c>
      <c r="I109" s="39">
        <f t="shared" si="6"/>
        <v>0.00004283150676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17">
        <v>43221.0</v>
      </c>
      <c r="B110" s="18">
        <v>101.0</v>
      </c>
      <c r="C110" s="19">
        <v>411.71</v>
      </c>
      <c r="D110" s="34">
        <f t="shared" si="1"/>
        <v>-0.1136781584</v>
      </c>
      <c r="E110" s="38">
        <f t="shared" si="2"/>
        <v>411.8236782</v>
      </c>
      <c r="F110" s="39">
        <f t="shared" si="3"/>
        <v>0.1136781584</v>
      </c>
      <c r="G110" s="39">
        <f t="shared" si="4"/>
        <v>0.01292272369</v>
      </c>
      <c r="H110" s="39">
        <f t="shared" si="5"/>
        <v>-0.0002761122109</v>
      </c>
      <c r="I110" s="39">
        <f t="shared" si="6"/>
        <v>0.0002761122109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17">
        <v>43252.0</v>
      </c>
      <c r="B111" s="18">
        <v>102.0</v>
      </c>
      <c r="C111" s="19">
        <v>410.72</v>
      </c>
      <c r="D111" s="34">
        <f t="shared" si="1"/>
        <v>0.02611941045</v>
      </c>
      <c r="E111" s="38">
        <f t="shared" si="2"/>
        <v>410.6938806</v>
      </c>
      <c r="F111" s="39">
        <f t="shared" si="3"/>
        <v>0.02611941045</v>
      </c>
      <c r="G111" s="39">
        <f t="shared" si="4"/>
        <v>0.0006822236021</v>
      </c>
      <c r="H111" s="39">
        <f t="shared" si="5"/>
        <v>0.00006359420152</v>
      </c>
      <c r="I111" s="39">
        <f t="shared" si="6"/>
        <v>0.00006359420152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17">
        <v>43282.0</v>
      </c>
      <c r="B112" s="18">
        <v>103.0</v>
      </c>
      <c r="C112" s="19">
        <v>409.28</v>
      </c>
      <c r="D112" s="34">
        <f t="shared" si="1"/>
        <v>0.1931629178</v>
      </c>
      <c r="E112" s="38">
        <f t="shared" si="2"/>
        <v>409.0868371</v>
      </c>
      <c r="F112" s="39">
        <f t="shared" si="3"/>
        <v>0.1931629178</v>
      </c>
      <c r="G112" s="39">
        <f t="shared" si="4"/>
        <v>0.03731191282</v>
      </c>
      <c r="H112" s="39">
        <f t="shared" si="5"/>
        <v>0.0004719578719</v>
      </c>
      <c r="I112" s="39">
        <f t="shared" si="6"/>
        <v>0.0004719578719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17">
        <v>43313.0</v>
      </c>
      <c r="B113" s="18">
        <v>104.0</v>
      </c>
      <c r="C113" s="19">
        <v>407.29</v>
      </c>
      <c r="D113" s="34">
        <f t="shared" si="1"/>
        <v>-0.2062698538</v>
      </c>
      <c r="E113" s="38">
        <f t="shared" si="2"/>
        <v>407.4962699</v>
      </c>
      <c r="F113" s="39">
        <f t="shared" si="3"/>
        <v>0.2062698538</v>
      </c>
      <c r="G113" s="39">
        <f t="shared" si="4"/>
        <v>0.04254725259</v>
      </c>
      <c r="H113" s="39">
        <f t="shared" si="5"/>
        <v>-0.0005064446802</v>
      </c>
      <c r="I113" s="39">
        <f t="shared" si="6"/>
        <v>0.0005064446802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17">
        <v>43344.0</v>
      </c>
      <c r="B114" s="18">
        <v>105.0</v>
      </c>
      <c r="C114" s="19">
        <v>405.71</v>
      </c>
      <c r="D114" s="34">
        <f t="shared" si="1"/>
        <v>0.06128442658</v>
      </c>
      <c r="E114" s="38">
        <f t="shared" si="2"/>
        <v>405.6487156</v>
      </c>
      <c r="F114" s="39">
        <f t="shared" si="3"/>
        <v>0.06128442658</v>
      </c>
      <c r="G114" s="39">
        <f t="shared" si="4"/>
        <v>0.003755780941</v>
      </c>
      <c r="H114" s="39">
        <f t="shared" si="5"/>
        <v>0.0001510547598</v>
      </c>
      <c r="I114" s="39">
        <f t="shared" si="6"/>
        <v>0.0001510547598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17">
        <v>43374.0</v>
      </c>
      <c r="B115" s="18">
        <v>106.0</v>
      </c>
      <c r="C115" s="19">
        <v>406.33</v>
      </c>
      <c r="D115" s="34">
        <f t="shared" si="1"/>
        <v>0.4628751636</v>
      </c>
      <c r="E115" s="38">
        <f t="shared" si="2"/>
        <v>405.8671248</v>
      </c>
      <c r="F115" s="39">
        <f t="shared" si="3"/>
        <v>0.4628751636</v>
      </c>
      <c r="G115" s="39">
        <f t="shared" si="4"/>
        <v>0.2142534171</v>
      </c>
      <c r="H115" s="39">
        <f t="shared" si="5"/>
        <v>0.001139160691</v>
      </c>
      <c r="I115" s="39">
        <f t="shared" si="6"/>
        <v>0.001139160691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17">
        <v>43405.0</v>
      </c>
      <c r="B116" s="18">
        <v>107.0</v>
      </c>
      <c r="C116" s="19">
        <v>408.23</v>
      </c>
      <c r="D116" s="34">
        <f t="shared" si="1"/>
        <v>-0.1330612015</v>
      </c>
      <c r="E116" s="38">
        <f t="shared" si="2"/>
        <v>408.3630612</v>
      </c>
      <c r="F116" s="39">
        <f t="shared" si="3"/>
        <v>0.1330612015</v>
      </c>
      <c r="G116" s="39">
        <f t="shared" si="4"/>
        <v>0.01770528334</v>
      </c>
      <c r="H116" s="39">
        <f t="shared" si="5"/>
        <v>-0.0003259466514</v>
      </c>
      <c r="I116" s="39">
        <f t="shared" si="6"/>
        <v>0.0003259466514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17">
        <v>43435.0</v>
      </c>
      <c r="B117" s="18">
        <v>108.0</v>
      </c>
      <c r="C117" s="19">
        <v>409.46</v>
      </c>
      <c r="D117" s="34">
        <f t="shared" si="1"/>
        <v>0.02515948932</v>
      </c>
      <c r="E117" s="38">
        <f t="shared" si="2"/>
        <v>409.4348405</v>
      </c>
      <c r="F117" s="39">
        <f t="shared" si="3"/>
        <v>0.02515948932</v>
      </c>
      <c r="G117" s="39">
        <f t="shared" si="4"/>
        <v>0.0006329999028</v>
      </c>
      <c r="H117" s="39">
        <f t="shared" si="5"/>
        <v>0.00006144553636</v>
      </c>
      <c r="I117" s="39">
        <f t="shared" si="6"/>
        <v>0.00006144553636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17">
        <v>43466.0</v>
      </c>
      <c r="B118" s="18">
        <v>109.0</v>
      </c>
      <c r="C118" s="19">
        <v>410.77</v>
      </c>
      <c r="D118" s="34">
        <f t="shared" si="1"/>
        <v>0.697510712</v>
      </c>
      <c r="E118" s="38">
        <f t="shared" si="2"/>
        <v>410.0724893</v>
      </c>
      <c r="F118" s="39">
        <f t="shared" si="3"/>
        <v>0.697510712</v>
      </c>
      <c r="G118" s="39">
        <f t="shared" si="4"/>
        <v>0.4865211934</v>
      </c>
      <c r="H118" s="39">
        <f t="shared" si="5"/>
        <v>0.001698056606</v>
      </c>
      <c r="I118" s="39">
        <f t="shared" si="6"/>
        <v>0.001698056606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17">
        <v>43497.0</v>
      </c>
      <c r="B119" s="18">
        <v>110.0</v>
      </c>
      <c r="C119" s="19">
        <v>411.84</v>
      </c>
      <c r="D119" s="34">
        <f t="shared" si="1"/>
        <v>0.1302406163</v>
      </c>
      <c r="E119" s="38">
        <f t="shared" si="2"/>
        <v>411.7097594</v>
      </c>
      <c r="F119" s="39">
        <f t="shared" si="3"/>
        <v>0.1302406163</v>
      </c>
      <c r="G119" s="39">
        <f t="shared" si="4"/>
        <v>0.01696261814</v>
      </c>
      <c r="H119" s="39">
        <f t="shared" si="5"/>
        <v>0.0003162408127</v>
      </c>
      <c r="I119" s="39">
        <f t="shared" si="6"/>
        <v>0.0003162408127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17">
        <v>43525.0</v>
      </c>
      <c r="B120" s="18">
        <v>111.0</v>
      </c>
      <c r="C120" s="19">
        <v>412.24</v>
      </c>
      <c r="D120" s="34">
        <f t="shared" si="1"/>
        <v>-0.481457568</v>
      </c>
      <c r="E120" s="38">
        <f t="shared" si="2"/>
        <v>412.7214576</v>
      </c>
      <c r="F120" s="39">
        <f t="shared" si="3"/>
        <v>0.481457568</v>
      </c>
      <c r="G120" s="39">
        <f t="shared" si="4"/>
        <v>0.2318013898</v>
      </c>
      <c r="H120" s="39">
        <f t="shared" si="5"/>
        <v>-0.001167905997</v>
      </c>
      <c r="I120" s="39">
        <f t="shared" si="6"/>
        <v>0.001167905997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17">
        <v>43556.0</v>
      </c>
      <c r="B121" s="18">
        <v>112.0</v>
      </c>
      <c r="C121" s="19">
        <v>413.46</v>
      </c>
      <c r="D121" s="34">
        <f t="shared" si="1"/>
        <v>-0.1084678823</v>
      </c>
      <c r="E121" s="38">
        <f t="shared" si="2"/>
        <v>413.5684679</v>
      </c>
      <c r="F121" s="39">
        <f t="shared" si="3"/>
        <v>0.1084678823</v>
      </c>
      <c r="G121" s="39">
        <f t="shared" si="4"/>
        <v>0.0117652815</v>
      </c>
      <c r="H121" s="39">
        <f t="shared" si="5"/>
        <v>-0.0002623419008</v>
      </c>
      <c r="I121" s="39">
        <f t="shared" si="6"/>
        <v>0.0002623419008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17">
        <v>43586.0</v>
      </c>
      <c r="B122" s="18">
        <v>113.0</v>
      </c>
      <c r="C122" s="19">
        <v>414.98</v>
      </c>
      <c r="D122" s="34">
        <f t="shared" si="1"/>
        <v>0.4313131429</v>
      </c>
      <c r="E122" s="38">
        <f t="shared" si="2"/>
        <v>414.5486869</v>
      </c>
      <c r="F122" s="39">
        <f t="shared" si="3"/>
        <v>0.4313131429</v>
      </c>
      <c r="G122" s="39">
        <f t="shared" si="4"/>
        <v>0.1860310272</v>
      </c>
      <c r="H122" s="39">
        <f t="shared" si="5"/>
        <v>0.001039358868</v>
      </c>
      <c r="I122" s="39">
        <f t="shared" si="6"/>
        <v>0.001039358868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17">
        <v>43617.0</v>
      </c>
      <c r="B123" s="18">
        <v>114.0</v>
      </c>
      <c r="C123" s="19">
        <v>414.3</v>
      </c>
      <c r="D123" s="34">
        <f t="shared" si="1"/>
        <v>0.06551379064</v>
      </c>
      <c r="E123" s="38">
        <f t="shared" si="2"/>
        <v>414.2344862</v>
      </c>
      <c r="F123" s="39">
        <f t="shared" si="3"/>
        <v>0.06551379064</v>
      </c>
      <c r="G123" s="39">
        <f t="shared" si="4"/>
        <v>0.004292056764</v>
      </c>
      <c r="H123" s="39">
        <f t="shared" si="5"/>
        <v>0.0001581312832</v>
      </c>
      <c r="I123" s="39">
        <f t="shared" si="6"/>
        <v>0.0001581312832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17">
        <v>43647.0</v>
      </c>
      <c r="B124" s="18">
        <v>115.0</v>
      </c>
      <c r="C124" s="19">
        <v>411.92</v>
      </c>
      <c r="D124" s="34">
        <f t="shared" si="1"/>
        <v>-0.1333537492</v>
      </c>
      <c r="E124" s="38">
        <f t="shared" si="2"/>
        <v>412.0533537</v>
      </c>
      <c r="F124" s="39">
        <f t="shared" si="3"/>
        <v>0.1333537492</v>
      </c>
      <c r="G124" s="39">
        <f t="shared" si="4"/>
        <v>0.01778322243</v>
      </c>
      <c r="H124" s="39">
        <f t="shared" si="5"/>
        <v>-0.0003237370101</v>
      </c>
      <c r="I124" s="39">
        <f t="shared" si="6"/>
        <v>0.0003237370101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17">
        <v>43678.0</v>
      </c>
      <c r="B125" s="18">
        <v>116.0</v>
      </c>
      <c r="C125" s="19">
        <v>409.75</v>
      </c>
      <c r="D125" s="34">
        <f t="shared" si="1"/>
        <v>-0.03591503635</v>
      </c>
      <c r="E125" s="38">
        <f t="shared" si="2"/>
        <v>409.785915</v>
      </c>
      <c r="F125" s="39">
        <f t="shared" si="3"/>
        <v>0.03591503635</v>
      </c>
      <c r="G125" s="39">
        <f t="shared" si="4"/>
        <v>0.001289889836</v>
      </c>
      <c r="H125" s="39">
        <f t="shared" si="5"/>
        <v>-0.00008765109543</v>
      </c>
      <c r="I125" s="39">
        <f t="shared" si="6"/>
        <v>0.00008765109543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17">
        <v>43709.0</v>
      </c>
      <c r="B126" s="18">
        <v>117.0</v>
      </c>
      <c r="C126" s="19">
        <v>408.74</v>
      </c>
      <c r="D126" s="34">
        <f t="shared" si="1"/>
        <v>0.2010076664</v>
      </c>
      <c r="E126" s="38">
        <f t="shared" si="2"/>
        <v>408.5389923</v>
      </c>
      <c r="F126" s="39">
        <f t="shared" si="3"/>
        <v>0.2010076664</v>
      </c>
      <c r="G126" s="39">
        <f t="shared" si="4"/>
        <v>0.04040408194</v>
      </c>
      <c r="H126" s="39">
        <f t="shared" si="5"/>
        <v>0.0004917739061</v>
      </c>
      <c r="I126" s="39">
        <f t="shared" si="6"/>
        <v>0.0004917739061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17">
        <v>43739.0</v>
      </c>
      <c r="B127" s="18">
        <v>118.0</v>
      </c>
      <c r="C127" s="19">
        <v>408.93</v>
      </c>
      <c r="D127" s="34">
        <f t="shared" si="1"/>
        <v>-0.032629378</v>
      </c>
      <c r="E127" s="38">
        <f t="shared" si="2"/>
        <v>408.9626294</v>
      </c>
      <c r="F127" s="39">
        <f t="shared" si="3"/>
        <v>0.032629378</v>
      </c>
      <c r="G127" s="39">
        <f t="shared" si="4"/>
        <v>0.001064676309</v>
      </c>
      <c r="H127" s="39">
        <f t="shared" si="5"/>
        <v>-0.00007979208666</v>
      </c>
      <c r="I127" s="39">
        <f t="shared" si="6"/>
        <v>0.00007979208666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17">
        <v>43770.0</v>
      </c>
      <c r="B128" s="18">
        <v>119.0</v>
      </c>
      <c r="C128" s="19">
        <v>410.29</v>
      </c>
      <c r="D128" s="34">
        <f t="shared" si="1"/>
        <v>-0.4869088455</v>
      </c>
      <c r="E128" s="38">
        <f t="shared" si="2"/>
        <v>410.7769088</v>
      </c>
      <c r="F128" s="39">
        <f t="shared" si="3"/>
        <v>0.4869088455</v>
      </c>
      <c r="G128" s="39">
        <f t="shared" si="4"/>
        <v>0.2370802239</v>
      </c>
      <c r="H128" s="39">
        <f t="shared" si="5"/>
        <v>-0.001186743146</v>
      </c>
      <c r="I128" s="39">
        <f t="shared" si="6"/>
        <v>0.001186743146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17">
        <v>43800.0</v>
      </c>
      <c r="B129" s="18">
        <v>120.0</v>
      </c>
      <c r="C129" s="19">
        <v>411.99</v>
      </c>
      <c r="D129" s="34">
        <f t="shared" si="1"/>
        <v>0.05355206552</v>
      </c>
      <c r="E129" s="38">
        <f t="shared" si="2"/>
        <v>411.9364479</v>
      </c>
      <c r="F129" s="39">
        <f t="shared" si="3"/>
        <v>0.05355206552</v>
      </c>
      <c r="G129" s="39">
        <f t="shared" si="4"/>
        <v>0.002867823722</v>
      </c>
      <c r="H129" s="39">
        <f t="shared" si="5"/>
        <v>0.0001299838965</v>
      </c>
      <c r="I129" s="39">
        <f t="shared" si="6"/>
        <v>0.0001299838965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17">
        <v>43831.0</v>
      </c>
      <c r="B130" s="18">
        <v>121.0</v>
      </c>
      <c r="C130" s="19">
        <v>413.37</v>
      </c>
      <c r="D130" s="34">
        <f t="shared" si="1"/>
        <v>0.4715442615</v>
      </c>
      <c r="E130" s="38">
        <f t="shared" si="2"/>
        <v>412.8984557</v>
      </c>
      <c r="F130" s="39">
        <f t="shared" si="3"/>
        <v>0.4715442615</v>
      </c>
      <c r="G130" s="39">
        <f t="shared" si="4"/>
        <v>0.2223539905</v>
      </c>
      <c r="H130" s="39">
        <f t="shared" si="5"/>
        <v>0.001140731697</v>
      </c>
      <c r="I130" s="39">
        <f t="shared" si="6"/>
        <v>0.001140731697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17">
        <v>43862.0</v>
      </c>
      <c r="B131" s="18">
        <v>122.0</v>
      </c>
      <c r="C131" s="19">
        <v>413.85</v>
      </c>
      <c r="D131" s="34">
        <f t="shared" si="1"/>
        <v>-0.2051907892</v>
      </c>
      <c r="E131" s="38">
        <f t="shared" si="2"/>
        <v>414.0551908</v>
      </c>
      <c r="F131" s="39">
        <f t="shared" si="3"/>
        <v>0.2051907892</v>
      </c>
      <c r="G131" s="39">
        <f t="shared" si="4"/>
        <v>0.04210325998</v>
      </c>
      <c r="H131" s="39">
        <f t="shared" si="5"/>
        <v>-0.0004958095668</v>
      </c>
      <c r="I131" s="39">
        <f t="shared" si="6"/>
        <v>0.0004958095668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17">
        <v>43891.0</v>
      </c>
      <c r="B132" s="18">
        <v>123.0</v>
      </c>
      <c r="C132" s="19">
        <v>414.56</v>
      </c>
      <c r="D132" s="34">
        <f t="shared" si="1"/>
        <v>-0.2600702152</v>
      </c>
      <c r="E132" s="38">
        <f t="shared" si="2"/>
        <v>414.8200702</v>
      </c>
      <c r="F132" s="39">
        <f t="shared" si="3"/>
        <v>0.2600702152</v>
      </c>
      <c r="G132" s="39">
        <f t="shared" si="4"/>
        <v>0.06763651682</v>
      </c>
      <c r="H132" s="39">
        <f t="shared" si="5"/>
        <v>-0.0006273403492</v>
      </c>
      <c r="I132" s="39">
        <f t="shared" si="6"/>
        <v>0.0006273403492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17">
        <v>43922.0</v>
      </c>
      <c r="B133" s="18">
        <v>124.0</v>
      </c>
      <c r="C133" s="19">
        <v>416.03</v>
      </c>
      <c r="D133" s="34">
        <f t="shared" si="1"/>
        <v>-0.2278530758</v>
      </c>
      <c r="E133" s="38">
        <f t="shared" si="2"/>
        <v>416.2578531</v>
      </c>
      <c r="F133" s="39">
        <f t="shared" si="3"/>
        <v>0.2278530758</v>
      </c>
      <c r="G133" s="39">
        <f t="shared" si="4"/>
        <v>0.05191702417</v>
      </c>
      <c r="H133" s="39">
        <f t="shared" si="5"/>
        <v>-0.0005476842435</v>
      </c>
      <c r="I133" s="39">
        <f t="shared" si="6"/>
        <v>0.0005476842435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17">
        <v>43952.0</v>
      </c>
      <c r="B134" s="18">
        <v>125.0</v>
      </c>
      <c r="C134" s="19">
        <v>417.21</v>
      </c>
      <c r="D134" s="34">
        <f t="shared" si="1"/>
        <v>0.3843625502</v>
      </c>
      <c r="E134" s="38">
        <f t="shared" si="2"/>
        <v>416.8256374</v>
      </c>
      <c r="F134" s="39">
        <f t="shared" si="3"/>
        <v>0.3843625502</v>
      </c>
      <c r="G134" s="39">
        <f t="shared" si="4"/>
        <v>0.14773457</v>
      </c>
      <c r="H134" s="39">
        <f t="shared" si="5"/>
        <v>0.0009212687859</v>
      </c>
      <c r="I134" s="39">
        <f t="shared" si="6"/>
        <v>0.0009212687859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17">
        <v>43983.0</v>
      </c>
      <c r="B135" s="18">
        <v>126.0</v>
      </c>
      <c r="C135" s="19">
        <v>416.79</v>
      </c>
      <c r="D135" s="34">
        <f t="shared" si="1"/>
        <v>0.2837923628</v>
      </c>
      <c r="E135" s="38">
        <f t="shared" si="2"/>
        <v>416.5062076</v>
      </c>
      <c r="F135" s="39">
        <f t="shared" si="3"/>
        <v>0.2837923628</v>
      </c>
      <c r="G135" s="39">
        <f t="shared" si="4"/>
        <v>0.08053810518</v>
      </c>
      <c r="H135" s="39">
        <f t="shared" si="5"/>
        <v>0.0006809001243</v>
      </c>
      <c r="I135" s="39">
        <f t="shared" si="6"/>
        <v>0.0006809001243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17">
        <v>44013.0</v>
      </c>
      <c r="B136" s="18">
        <v>127.0</v>
      </c>
      <c r="C136" s="19">
        <v>414.59</v>
      </c>
      <c r="D136" s="34">
        <f t="shared" si="1"/>
        <v>-0.2017934677</v>
      </c>
      <c r="E136" s="38">
        <f t="shared" si="2"/>
        <v>414.7917935</v>
      </c>
      <c r="F136" s="39">
        <f t="shared" si="3"/>
        <v>0.2017934677</v>
      </c>
      <c r="G136" s="39">
        <f t="shared" si="4"/>
        <v>0.0407206036</v>
      </c>
      <c r="H136" s="39">
        <f t="shared" si="5"/>
        <v>-0.0004867301857</v>
      </c>
      <c r="I136" s="39">
        <f t="shared" si="6"/>
        <v>0.0004867301857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17">
        <v>44044.0</v>
      </c>
      <c r="B137" s="18">
        <v>128.0</v>
      </c>
      <c r="C137" s="19">
        <v>412.49</v>
      </c>
      <c r="D137" s="34">
        <f t="shared" si="1"/>
        <v>0.3795266415</v>
      </c>
      <c r="E137" s="38">
        <f t="shared" si="2"/>
        <v>412.1104734</v>
      </c>
      <c r="F137" s="39">
        <f t="shared" si="3"/>
        <v>0.3795266415</v>
      </c>
      <c r="G137" s="39">
        <f t="shared" si="4"/>
        <v>0.1440404716</v>
      </c>
      <c r="H137" s="39">
        <f t="shared" si="5"/>
        <v>0.0009200868907</v>
      </c>
      <c r="I137" s="39">
        <f t="shared" si="6"/>
        <v>0.0009200868907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17">
        <v>44075.0</v>
      </c>
      <c r="B138" s="18">
        <v>129.0</v>
      </c>
      <c r="C138" s="19">
        <v>411.51</v>
      </c>
      <c r="D138" s="34">
        <f t="shared" si="1"/>
        <v>0.1732739212</v>
      </c>
      <c r="E138" s="38">
        <f t="shared" si="2"/>
        <v>411.3367261</v>
      </c>
      <c r="F138" s="39">
        <f t="shared" si="3"/>
        <v>0.1732739212</v>
      </c>
      <c r="G138" s="39">
        <f t="shared" si="4"/>
        <v>0.03002385176</v>
      </c>
      <c r="H138" s="39">
        <f t="shared" si="5"/>
        <v>0.0004210685552</v>
      </c>
      <c r="I138" s="39">
        <f t="shared" si="6"/>
        <v>0.0004210685552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17">
        <v>44105.0</v>
      </c>
      <c r="B139" s="18">
        <v>130.0</v>
      </c>
      <c r="C139" s="19">
        <v>411.52</v>
      </c>
      <c r="D139" s="34">
        <f t="shared" si="1"/>
        <v>-0.001005329386</v>
      </c>
      <c r="E139" s="38">
        <f t="shared" si="2"/>
        <v>411.5210053</v>
      </c>
      <c r="F139" s="39">
        <f t="shared" si="3"/>
        <v>0.001005329386</v>
      </c>
      <c r="G139" s="39">
        <f t="shared" si="4"/>
        <v>0.000001010687174</v>
      </c>
      <c r="H139" s="39">
        <f t="shared" si="5"/>
        <v>-0.000002442966043</v>
      </c>
      <c r="I139" s="39">
        <f t="shared" si="6"/>
        <v>0.000002442966043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17">
        <v>44136.0</v>
      </c>
      <c r="B140" s="18">
        <v>131.0</v>
      </c>
      <c r="C140" s="19">
        <v>412.55</v>
      </c>
      <c r="D140" s="34">
        <f t="shared" si="1"/>
        <v>-0.5246429329</v>
      </c>
      <c r="E140" s="38">
        <f t="shared" si="2"/>
        <v>413.0746429</v>
      </c>
      <c r="F140" s="39">
        <f t="shared" si="3"/>
        <v>0.5246429329</v>
      </c>
      <c r="G140" s="39">
        <f t="shared" si="4"/>
        <v>0.275250207</v>
      </c>
      <c r="H140" s="39">
        <f t="shared" si="5"/>
        <v>-0.001271707509</v>
      </c>
      <c r="I140" s="39">
        <f t="shared" si="6"/>
        <v>0.001271707509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17">
        <v>44166.0</v>
      </c>
      <c r="B141" s="18">
        <v>132.0</v>
      </c>
      <c r="C141" s="19">
        <v>414.1</v>
      </c>
      <c r="D141" s="34">
        <f t="shared" si="1"/>
        <v>-0.1372017921</v>
      </c>
      <c r="E141" s="38">
        <f t="shared" si="2"/>
        <v>414.2372018</v>
      </c>
      <c r="F141" s="39">
        <f t="shared" si="3"/>
        <v>0.1372017921</v>
      </c>
      <c r="G141" s="39">
        <f t="shared" si="4"/>
        <v>0.01882433175</v>
      </c>
      <c r="H141" s="39">
        <f t="shared" si="5"/>
        <v>-0.0003313252646</v>
      </c>
      <c r="I141" s="39">
        <f t="shared" si="6"/>
        <v>0.0003313252646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17">
        <v>44197.0</v>
      </c>
      <c r="B142" s="18">
        <v>133.0</v>
      </c>
      <c r="C142" s="19">
        <v>415.51</v>
      </c>
      <c r="D142" s="34">
        <f t="shared" si="1"/>
        <v>0.3135251562</v>
      </c>
      <c r="E142" s="38">
        <f t="shared" si="2"/>
        <v>415.1964748</v>
      </c>
      <c r="F142" s="39">
        <f t="shared" si="3"/>
        <v>0.3135251562</v>
      </c>
      <c r="G142" s="39">
        <f t="shared" si="4"/>
        <v>0.0982980236</v>
      </c>
      <c r="H142" s="39">
        <f t="shared" si="5"/>
        <v>0.0007545550197</v>
      </c>
      <c r="I142" s="39">
        <f t="shared" si="6"/>
        <v>0.0007545550197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17">
        <v>44228.0</v>
      </c>
      <c r="B143" s="18">
        <v>134.0</v>
      </c>
      <c r="C143" s="19">
        <v>416.35</v>
      </c>
      <c r="D143" s="34">
        <f t="shared" si="1"/>
        <v>0.09075394337</v>
      </c>
      <c r="E143" s="38">
        <f t="shared" si="2"/>
        <v>416.2592461</v>
      </c>
      <c r="F143" s="39">
        <f t="shared" si="3"/>
        <v>0.09075394337</v>
      </c>
      <c r="G143" s="39">
        <f t="shared" si="4"/>
        <v>0.008236278237</v>
      </c>
      <c r="H143" s="39">
        <f t="shared" si="5"/>
        <v>0.0002179751252</v>
      </c>
      <c r="I143" s="39">
        <f t="shared" si="6"/>
        <v>0.0002179751252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17">
        <v>44256.0</v>
      </c>
      <c r="B144" s="18">
        <v>135.0</v>
      </c>
      <c r="C144" s="19">
        <v>417.51</v>
      </c>
      <c r="D144" s="34">
        <f t="shared" si="1"/>
        <v>-0.0672422427</v>
      </c>
      <c r="E144" s="38">
        <f t="shared" si="2"/>
        <v>417.5772422</v>
      </c>
      <c r="F144" s="39">
        <f t="shared" si="3"/>
        <v>0.0672422427</v>
      </c>
      <c r="G144" s="39">
        <f t="shared" si="4"/>
        <v>0.004521519204</v>
      </c>
      <c r="H144" s="39">
        <f t="shared" si="5"/>
        <v>-0.0001610554063</v>
      </c>
      <c r="I144" s="39">
        <f t="shared" si="6"/>
        <v>0.0001610554063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17">
        <v>44287.0</v>
      </c>
      <c r="B145" s="18">
        <v>136.0</v>
      </c>
      <c r="C145" s="19">
        <v>419.1</v>
      </c>
      <c r="D145" s="34">
        <f t="shared" si="1"/>
        <v>-0.004982751048</v>
      </c>
      <c r="E145" s="38">
        <f t="shared" si="2"/>
        <v>419.1049828</v>
      </c>
      <c r="F145" s="39">
        <f t="shared" si="3"/>
        <v>0.004982751048</v>
      </c>
      <c r="G145" s="39">
        <f t="shared" si="4"/>
        <v>0.00002482780801</v>
      </c>
      <c r="H145" s="39">
        <f t="shared" si="5"/>
        <v>-0.00001188916976</v>
      </c>
      <c r="I145" s="39">
        <f t="shared" si="6"/>
        <v>0.00001188916976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17">
        <v>44317.0</v>
      </c>
      <c r="B146" s="18">
        <v>137.0</v>
      </c>
      <c r="C146" s="19">
        <v>419.22</v>
      </c>
      <c r="D146" s="34">
        <f t="shared" si="1"/>
        <v>-0.3351946669</v>
      </c>
      <c r="E146" s="38">
        <f t="shared" si="2"/>
        <v>419.5551947</v>
      </c>
      <c r="F146" s="39">
        <f t="shared" si="3"/>
        <v>0.3351946669</v>
      </c>
      <c r="G146" s="39">
        <f t="shared" si="4"/>
        <v>0.1123554647</v>
      </c>
      <c r="H146" s="39">
        <f t="shared" si="5"/>
        <v>-0.0007995674513</v>
      </c>
      <c r="I146" s="39">
        <f t="shared" si="6"/>
        <v>0.0007995674513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17">
        <v>44348.0</v>
      </c>
      <c r="B147" s="18">
        <v>138.0</v>
      </c>
      <c r="C147" s="19">
        <v>418.41</v>
      </c>
      <c r="D147" s="34">
        <f t="shared" si="1"/>
        <v>0.3547048888</v>
      </c>
      <c r="E147" s="38">
        <f t="shared" si="2"/>
        <v>418.0552951</v>
      </c>
      <c r="F147" s="39">
        <f t="shared" si="3"/>
        <v>0.3547048888</v>
      </c>
      <c r="G147" s="39">
        <f t="shared" si="4"/>
        <v>0.1258155582</v>
      </c>
      <c r="H147" s="39">
        <f t="shared" si="5"/>
        <v>0.0008477447691</v>
      </c>
      <c r="I147" s="39">
        <f t="shared" si="6"/>
        <v>0.0008477447691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17">
        <v>44378.0</v>
      </c>
      <c r="B148" s="18">
        <v>139.0</v>
      </c>
      <c r="C148" s="19">
        <v>416.73</v>
      </c>
      <c r="D148" s="34">
        <f t="shared" si="1"/>
        <v>-0.3260571952</v>
      </c>
      <c r="E148" s="38">
        <f t="shared" si="2"/>
        <v>417.0560572</v>
      </c>
      <c r="F148" s="39">
        <f t="shared" si="3"/>
        <v>0.3260571952</v>
      </c>
      <c r="G148" s="39">
        <f t="shared" si="4"/>
        <v>0.1063132946</v>
      </c>
      <c r="H148" s="39">
        <f t="shared" si="5"/>
        <v>-0.0007824183409</v>
      </c>
      <c r="I148" s="39">
        <f t="shared" si="6"/>
        <v>0.0007824183409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17">
        <v>44409.0</v>
      </c>
      <c r="B149" s="18">
        <v>140.0</v>
      </c>
      <c r="C149" s="19">
        <v>414.35</v>
      </c>
      <c r="D149" s="34">
        <f t="shared" si="1"/>
        <v>-0.09649812528</v>
      </c>
      <c r="E149" s="38">
        <f t="shared" si="2"/>
        <v>414.4464981</v>
      </c>
      <c r="F149" s="39">
        <f t="shared" si="3"/>
        <v>0.09649812528</v>
      </c>
      <c r="G149" s="39">
        <f t="shared" si="4"/>
        <v>0.009311888182</v>
      </c>
      <c r="H149" s="39">
        <f t="shared" si="5"/>
        <v>-0.0002328903711</v>
      </c>
      <c r="I149" s="39">
        <f t="shared" si="6"/>
        <v>0.0002328903711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17">
        <v>44440.0</v>
      </c>
      <c r="B150" s="18">
        <v>141.0</v>
      </c>
      <c r="C150" s="19">
        <v>413.18</v>
      </c>
      <c r="D150" s="34">
        <f t="shared" si="1"/>
        <v>0.1110086078</v>
      </c>
      <c r="E150" s="38">
        <f t="shared" si="2"/>
        <v>413.0689914</v>
      </c>
      <c r="F150" s="39">
        <f t="shared" si="3"/>
        <v>0.1110086078</v>
      </c>
      <c r="G150" s="39">
        <f t="shared" si="4"/>
        <v>0.01232291101</v>
      </c>
      <c r="H150" s="39">
        <f t="shared" si="5"/>
        <v>0.0002686688799</v>
      </c>
      <c r="I150" s="39">
        <f t="shared" si="6"/>
        <v>0.0002686688799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17">
        <v>44470.0</v>
      </c>
      <c r="B151" s="18">
        <v>142.0</v>
      </c>
      <c r="C151" s="19">
        <v>413.76</v>
      </c>
      <c r="D151" s="34">
        <f t="shared" si="1"/>
        <v>-0.03361590079</v>
      </c>
      <c r="E151" s="38">
        <f t="shared" si="2"/>
        <v>413.7936159</v>
      </c>
      <c r="F151" s="39">
        <f t="shared" si="3"/>
        <v>0.03361590079</v>
      </c>
      <c r="G151" s="39">
        <f t="shared" si="4"/>
        <v>0.001130028786</v>
      </c>
      <c r="H151" s="39">
        <f t="shared" si="5"/>
        <v>-0.00008124492651</v>
      </c>
      <c r="I151" s="39">
        <f t="shared" si="6"/>
        <v>0.00008124492651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17">
        <v>44501.0</v>
      </c>
      <c r="B152" s="18">
        <v>143.0</v>
      </c>
      <c r="C152" s="19">
        <v>414.92</v>
      </c>
      <c r="D152" s="34">
        <f t="shared" si="1"/>
        <v>-0.4207552241</v>
      </c>
      <c r="E152" s="38">
        <f t="shared" si="2"/>
        <v>415.3407552</v>
      </c>
      <c r="F152" s="39">
        <f t="shared" si="3"/>
        <v>0.4207552241</v>
      </c>
      <c r="G152" s="39">
        <f t="shared" si="4"/>
        <v>0.1770349586</v>
      </c>
      <c r="H152" s="39">
        <f t="shared" si="5"/>
        <v>-0.001014063492</v>
      </c>
      <c r="I152" s="39">
        <f t="shared" si="6"/>
        <v>0.001014063492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17">
        <v>44531.0</v>
      </c>
      <c r="B153" s="18">
        <v>144.0</v>
      </c>
      <c r="C153" s="19">
        <v>416.7</v>
      </c>
      <c r="D153" s="34">
        <f t="shared" si="1"/>
        <v>0.4845859734</v>
      </c>
      <c r="E153" s="38">
        <f t="shared" si="2"/>
        <v>416.215414</v>
      </c>
      <c r="F153" s="39">
        <f t="shared" si="3"/>
        <v>0.4845859734</v>
      </c>
      <c r="G153" s="39">
        <f t="shared" si="4"/>
        <v>0.2348235656</v>
      </c>
      <c r="H153" s="39">
        <f t="shared" si="5"/>
        <v>0.001162913303</v>
      </c>
      <c r="I153" s="39">
        <f t="shared" si="6"/>
        <v>0.001162913303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17">
        <v>44562.0</v>
      </c>
      <c r="B154" s="18">
        <v>145.0</v>
      </c>
      <c r="C154" s="19">
        <v>418.38</v>
      </c>
      <c r="D154" s="34">
        <f t="shared" si="1"/>
        <v>0.3142226668</v>
      </c>
      <c r="E154" s="38">
        <f t="shared" si="2"/>
        <v>418.0657773</v>
      </c>
      <c r="F154" s="39">
        <f t="shared" si="3"/>
        <v>0.3142226668</v>
      </c>
      <c r="G154" s="39">
        <f t="shared" si="4"/>
        <v>0.09873588431</v>
      </c>
      <c r="H154" s="39">
        <f t="shared" si="5"/>
        <v>0.0007510460987</v>
      </c>
      <c r="I154" s="39">
        <f t="shared" si="6"/>
        <v>0.0007510460987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17">
        <v>44593.0</v>
      </c>
      <c r="B155" s="18">
        <v>146.0</v>
      </c>
      <c r="C155" s="19">
        <v>419.08</v>
      </c>
      <c r="D155" s="34">
        <f t="shared" si="1"/>
        <v>0.2224623583</v>
      </c>
      <c r="E155" s="38">
        <f t="shared" si="2"/>
        <v>418.8575376</v>
      </c>
      <c r="F155" s="39">
        <f t="shared" si="3"/>
        <v>0.2224623583</v>
      </c>
      <c r="G155" s="39">
        <f t="shared" si="4"/>
        <v>0.04948950087</v>
      </c>
      <c r="H155" s="39">
        <f t="shared" si="5"/>
        <v>0.0005308350633</v>
      </c>
      <c r="I155" s="39">
        <f t="shared" si="6"/>
        <v>0.0005308350633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17">
        <v>44621.0</v>
      </c>
      <c r="B156" s="18">
        <v>147.0</v>
      </c>
      <c r="C156" s="19">
        <v>419.17</v>
      </c>
      <c r="D156" s="34">
        <f t="shared" si="1"/>
        <v>-0.8122133736</v>
      </c>
      <c r="E156" s="38">
        <f t="shared" si="2"/>
        <v>419.9822134</v>
      </c>
      <c r="F156" s="39">
        <f t="shared" si="3"/>
        <v>0.8122133736</v>
      </c>
      <c r="G156" s="39">
        <f t="shared" si="4"/>
        <v>0.6596905643</v>
      </c>
      <c r="H156" s="39">
        <f t="shared" si="5"/>
        <v>-0.001937670572</v>
      </c>
      <c r="I156" s="39">
        <f t="shared" si="6"/>
        <v>0.001937670572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17">
        <v>44652.0</v>
      </c>
      <c r="B157" s="18">
        <v>148.0</v>
      </c>
      <c r="C157" s="19">
        <v>420.1</v>
      </c>
      <c r="D157" s="34">
        <f t="shared" si="1"/>
        <v>-0.442053381</v>
      </c>
      <c r="E157" s="38">
        <f t="shared" si="2"/>
        <v>420.5420534</v>
      </c>
      <c r="F157" s="39">
        <f t="shared" si="3"/>
        <v>0.442053381</v>
      </c>
      <c r="G157" s="39">
        <f t="shared" si="4"/>
        <v>0.1954111916</v>
      </c>
      <c r="H157" s="39">
        <f t="shared" si="5"/>
        <v>-0.001052257512</v>
      </c>
      <c r="I157" s="39">
        <f t="shared" si="6"/>
        <v>0.001052257512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17">
        <v>44682.0</v>
      </c>
      <c r="B158" s="18">
        <v>149.0</v>
      </c>
      <c r="C158" s="19">
        <v>421.21</v>
      </c>
      <c r="D158" s="34">
        <f t="shared" si="1"/>
        <v>0.1588172972</v>
      </c>
      <c r="E158" s="38">
        <f t="shared" si="2"/>
        <v>421.0511827</v>
      </c>
      <c r="F158" s="39">
        <f t="shared" si="3"/>
        <v>0.1588172972</v>
      </c>
      <c r="G158" s="39">
        <f t="shared" si="4"/>
        <v>0.02522293388</v>
      </c>
      <c r="H158" s="39">
        <f t="shared" si="5"/>
        <v>0.0003770501583</v>
      </c>
      <c r="I158" s="39">
        <f t="shared" si="6"/>
        <v>0.0003770501583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17">
        <v>44713.0</v>
      </c>
      <c r="B159" s="18">
        <v>150.0</v>
      </c>
      <c r="C159" s="19">
        <v>420.89</v>
      </c>
      <c r="D159" s="34">
        <f t="shared" si="1"/>
        <v>0.1714735485</v>
      </c>
      <c r="E159" s="38">
        <f t="shared" si="2"/>
        <v>420.7185265</v>
      </c>
      <c r="F159" s="39">
        <f t="shared" si="3"/>
        <v>0.1714735485</v>
      </c>
      <c r="G159" s="39">
        <f t="shared" si="4"/>
        <v>0.02940317782</v>
      </c>
      <c r="H159" s="39">
        <f t="shared" si="5"/>
        <v>0.0004074070386</v>
      </c>
      <c r="I159" s="39">
        <f t="shared" si="6"/>
        <v>0.0004074070386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17">
        <v>44743.0</v>
      </c>
      <c r="B160" s="18">
        <v>151.0</v>
      </c>
      <c r="C160" s="19">
        <v>418.96</v>
      </c>
      <c r="D160" s="34">
        <f t="shared" si="1"/>
        <v>-0.1991760405</v>
      </c>
      <c r="E160" s="38">
        <f t="shared" si="2"/>
        <v>419.159176</v>
      </c>
      <c r="F160" s="39">
        <f t="shared" si="3"/>
        <v>0.1991760405</v>
      </c>
      <c r="G160" s="39">
        <f t="shared" si="4"/>
        <v>0.03967109512</v>
      </c>
      <c r="H160" s="39">
        <f t="shared" si="5"/>
        <v>-0.0004754058634</v>
      </c>
      <c r="I160" s="39">
        <f t="shared" si="6"/>
        <v>0.0004754058634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17">
        <v>44774.0</v>
      </c>
      <c r="B161" s="18">
        <v>152.0</v>
      </c>
      <c r="C161" s="19">
        <v>416.92</v>
      </c>
      <c r="D161" s="34">
        <f t="shared" si="1"/>
        <v>0.282882908</v>
      </c>
      <c r="E161" s="38">
        <f t="shared" si="2"/>
        <v>416.6371171</v>
      </c>
      <c r="F161" s="39">
        <f t="shared" si="3"/>
        <v>0.282882908</v>
      </c>
      <c r="G161" s="39">
        <f t="shared" si="4"/>
        <v>0.08002273963</v>
      </c>
      <c r="H161" s="39">
        <f t="shared" si="5"/>
        <v>0.0006785064472</v>
      </c>
      <c r="I161" s="39">
        <f t="shared" si="6"/>
        <v>0.0006785064472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17">
        <v>44805.0</v>
      </c>
      <c r="B162" s="18">
        <v>153.0</v>
      </c>
      <c r="C162" s="19">
        <v>415.56</v>
      </c>
      <c r="D162" s="34">
        <f t="shared" si="1"/>
        <v>-0.05805982264</v>
      </c>
      <c r="E162" s="38">
        <f t="shared" si="2"/>
        <v>415.6180598</v>
      </c>
      <c r="F162" s="39">
        <f t="shared" si="3"/>
        <v>0.05805982264</v>
      </c>
      <c r="G162" s="39">
        <f t="shared" si="4"/>
        <v>0.003370943005</v>
      </c>
      <c r="H162" s="39">
        <f t="shared" si="5"/>
        <v>-0.0001397146565</v>
      </c>
      <c r="I162" s="39">
        <f t="shared" si="6"/>
        <v>0.0001397146565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17">
        <v>44835.0</v>
      </c>
      <c r="B163" s="18">
        <v>154.0</v>
      </c>
      <c r="C163" s="19">
        <v>415.57</v>
      </c>
      <c r="D163" s="34">
        <f t="shared" si="1"/>
        <v>0.06162371265</v>
      </c>
      <c r="E163" s="38">
        <f t="shared" si="2"/>
        <v>415.5083763</v>
      </c>
      <c r="F163" s="39">
        <f t="shared" si="3"/>
        <v>0.06162371265</v>
      </c>
      <c r="G163" s="39">
        <f t="shared" si="4"/>
        <v>0.003797481961</v>
      </c>
      <c r="H163" s="39">
        <f t="shared" si="5"/>
        <v>0.0001482872023</v>
      </c>
      <c r="I163" s="39">
        <f t="shared" si="6"/>
        <v>0.0001482872023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17">
        <v>44866.0</v>
      </c>
      <c r="B164" s="18">
        <v>155.0</v>
      </c>
      <c r="C164" s="19">
        <v>417.45</v>
      </c>
      <c r="D164" s="34">
        <f t="shared" si="1"/>
        <v>0.1399719361</v>
      </c>
      <c r="E164" s="38">
        <f t="shared" si="2"/>
        <v>417.3100281</v>
      </c>
      <c r="F164" s="39">
        <f t="shared" si="3"/>
        <v>0.1399719361</v>
      </c>
      <c r="G164" s="39">
        <f t="shared" si="4"/>
        <v>0.01959214289</v>
      </c>
      <c r="H164" s="39">
        <f t="shared" si="5"/>
        <v>0.0003353022783</v>
      </c>
      <c r="I164" s="39">
        <f t="shared" si="6"/>
        <v>0.0003353022783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17">
        <v>44896.0</v>
      </c>
      <c r="B165" s="18">
        <v>156.0</v>
      </c>
      <c r="C165" s="19">
        <v>419.23</v>
      </c>
      <c r="D165" s="34">
        <f t="shared" si="1"/>
        <v>-0.1327016176</v>
      </c>
      <c r="E165" s="38">
        <f t="shared" si="2"/>
        <v>419.3627016</v>
      </c>
      <c r="F165" s="39">
        <f t="shared" si="3"/>
        <v>0.1327016176</v>
      </c>
      <c r="G165" s="39">
        <f t="shared" si="4"/>
        <v>0.01760971932</v>
      </c>
      <c r="H165" s="39">
        <f t="shared" si="5"/>
        <v>-0.0003165365495</v>
      </c>
      <c r="I165" s="39">
        <f t="shared" si="6"/>
        <v>0.0003165365495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26">
        <v>44927.0</v>
      </c>
      <c r="B166" s="27">
        <v>157.0</v>
      </c>
      <c r="C166" s="40">
        <v>419.66</v>
      </c>
      <c r="D166" s="41">
        <f t="shared" si="1"/>
        <v>-0.3287988802</v>
      </c>
      <c r="E166" s="42">
        <f t="shared" si="2"/>
        <v>419.9887989</v>
      </c>
      <c r="F166" s="43">
        <f t="shared" si="3"/>
        <v>0.3287988802</v>
      </c>
      <c r="G166" s="43">
        <f t="shared" si="4"/>
        <v>0.1081087036</v>
      </c>
      <c r="H166" s="43">
        <f t="shared" si="5"/>
        <v>-0.0007834887295</v>
      </c>
      <c r="I166" s="43">
        <f t="shared" si="6"/>
        <v>0.0007834887295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26">
        <v>44958.0</v>
      </c>
      <c r="B167" s="27">
        <v>158.0</v>
      </c>
      <c r="C167" s="28">
        <v>419.94</v>
      </c>
      <c r="D167" s="41">
        <f t="shared" si="1"/>
        <v>-0.2414800598</v>
      </c>
      <c r="E167" s="42">
        <f t="shared" si="2"/>
        <v>420.1814801</v>
      </c>
      <c r="F167" s="43">
        <f t="shared" si="3"/>
        <v>0.2414800598</v>
      </c>
      <c r="G167" s="43">
        <f t="shared" si="4"/>
        <v>0.0583126193</v>
      </c>
      <c r="H167" s="43">
        <f t="shared" si="5"/>
        <v>-0.0005750346712</v>
      </c>
      <c r="I167" s="43">
        <f t="shared" si="6"/>
        <v>0.0005750346712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26">
        <v>410228.0</v>
      </c>
      <c r="B168" s="27">
        <v>159.0</v>
      </c>
      <c r="C168" s="28">
        <v>421.06</v>
      </c>
      <c r="D168" s="41">
        <f t="shared" si="1"/>
        <v>-0.2229433907</v>
      </c>
      <c r="E168" s="42">
        <f t="shared" si="2"/>
        <v>421.2829434</v>
      </c>
      <c r="F168" s="43">
        <f t="shared" si="3"/>
        <v>0.2229433907</v>
      </c>
      <c r="G168" s="43">
        <f t="shared" si="4"/>
        <v>0.04970375544</v>
      </c>
      <c r="H168" s="43">
        <f t="shared" si="5"/>
        <v>-0.0005294812869</v>
      </c>
      <c r="I168" s="43">
        <f t="shared" si="6"/>
        <v>0.0005294812869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26">
        <v>45017.0</v>
      </c>
      <c r="B169" s="27">
        <v>160.0</v>
      </c>
      <c r="C169" s="28">
        <v>423.07</v>
      </c>
      <c r="D169" s="41">
        <f t="shared" si="1"/>
        <v>0.3828178358</v>
      </c>
      <c r="E169" s="42">
        <f t="shared" si="2"/>
        <v>422.6871822</v>
      </c>
      <c r="F169" s="43">
        <f t="shared" si="3"/>
        <v>0.3828178358</v>
      </c>
      <c r="G169" s="43">
        <f t="shared" si="4"/>
        <v>0.1465494954</v>
      </c>
      <c r="H169" s="43">
        <f t="shared" si="5"/>
        <v>0.000904856964</v>
      </c>
      <c r="I169" s="43">
        <f t="shared" si="6"/>
        <v>0.000904856964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26">
        <v>45047.0</v>
      </c>
      <c r="B170" s="27">
        <v>161.0</v>
      </c>
      <c r="C170" s="28">
        <v>424.41</v>
      </c>
      <c r="D170" s="41">
        <f t="shared" si="1"/>
        <v>0.2629263061</v>
      </c>
      <c r="E170" s="42">
        <f t="shared" si="2"/>
        <v>424.1470737</v>
      </c>
      <c r="F170" s="43">
        <f t="shared" si="3"/>
        <v>0.2629263061</v>
      </c>
      <c r="G170" s="43">
        <f t="shared" si="4"/>
        <v>0.06913024244</v>
      </c>
      <c r="H170" s="43">
        <f t="shared" si="5"/>
        <v>0.0006195101579</v>
      </c>
      <c r="I170" s="43">
        <f t="shared" si="6"/>
        <v>0.0006195101579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26">
        <v>45078.0</v>
      </c>
      <c r="B171" s="27">
        <v>162.0</v>
      </c>
      <c r="C171" s="28">
        <v>423.47</v>
      </c>
      <c r="D171" s="41">
        <f t="shared" si="1"/>
        <v>-0.05112877099</v>
      </c>
      <c r="E171" s="42">
        <f t="shared" si="2"/>
        <v>423.5211288</v>
      </c>
      <c r="F171" s="43">
        <f t="shared" si="3"/>
        <v>0.05112877099</v>
      </c>
      <c r="G171" s="43">
        <f t="shared" si="4"/>
        <v>0.002614151223</v>
      </c>
      <c r="H171" s="43">
        <f t="shared" si="5"/>
        <v>-0.0001207376461</v>
      </c>
      <c r="I171" s="43">
        <f t="shared" si="6"/>
        <v>0.0001207376461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26">
        <v>45108.0</v>
      </c>
      <c r="B172" s="27">
        <v>163.0</v>
      </c>
      <c r="C172" s="28">
        <v>421.33</v>
      </c>
      <c r="D172" s="41">
        <f t="shared" si="1"/>
        <v>0.2021579291</v>
      </c>
      <c r="E172" s="42">
        <f t="shared" si="2"/>
        <v>421.1278421</v>
      </c>
      <c r="F172" s="43">
        <f t="shared" si="3"/>
        <v>0.2021579291</v>
      </c>
      <c r="G172" s="43">
        <f t="shared" si="4"/>
        <v>0.0408678283</v>
      </c>
      <c r="H172" s="43">
        <f t="shared" si="5"/>
        <v>0.0004798090074</v>
      </c>
      <c r="I172" s="43">
        <f t="shared" si="6"/>
        <v>0.0004798090074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26">
        <v>45139.0</v>
      </c>
      <c r="B173" s="27">
        <v>164.0</v>
      </c>
      <c r="C173" s="28">
        <v>419.7</v>
      </c>
      <c r="D173" s="41">
        <f t="shared" si="1"/>
        <v>0.5502789858</v>
      </c>
      <c r="E173" s="42">
        <f t="shared" si="2"/>
        <v>419.149721</v>
      </c>
      <c r="F173" s="43">
        <f t="shared" si="3"/>
        <v>0.5502789858</v>
      </c>
      <c r="G173" s="43">
        <f t="shared" si="4"/>
        <v>0.3028069622</v>
      </c>
      <c r="H173" s="43">
        <f t="shared" si="5"/>
        <v>0.001311124579</v>
      </c>
      <c r="I173" s="43">
        <f t="shared" si="6"/>
        <v>0.001311124579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26">
        <v>45170.0</v>
      </c>
      <c r="B174" s="27">
        <v>165.0</v>
      </c>
      <c r="C174" s="28">
        <v>418.84</v>
      </c>
      <c r="D174" s="41">
        <f t="shared" si="1"/>
        <v>0.403265878</v>
      </c>
      <c r="E174" s="42">
        <f t="shared" si="2"/>
        <v>418.4367341</v>
      </c>
      <c r="F174" s="43">
        <f t="shared" si="3"/>
        <v>0.403265878</v>
      </c>
      <c r="G174" s="43">
        <f t="shared" si="4"/>
        <v>0.1626233684</v>
      </c>
      <c r="H174" s="43">
        <f t="shared" si="5"/>
        <v>0.0009628160586</v>
      </c>
      <c r="I174" s="43">
        <f t="shared" si="6"/>
        <v>0.0009628160586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44">
        <v>45200.0</v>
      </c>
      <c r="B175" s="27">
        <v>166.0</v>
      </c>
      <c r="C175" s="28">
        <v>418.74</v>
      </c>
      <c r="D175" s="41">
        <f t="shared" si="1"/>
        <v>-0.1149808456</v>
      </c>
      <c r="E175" s="42">
        <f t="shared" si="2"/>
        <v>418.8549808</v>
      </c>
      <c r="F175" s="43">
        <f t="shared" si="3"/>
        <v>0.1149808456</v>
      </c>
      <c r="G175" s="43">
        <f t="shared" si="4"/>
        <v>0.01322059485</v>
      </c>
      <c r="H175" s="43">
        <f t="shared" si="5"/>
        <v>-0.0002745876811</v>
      </c>
      <c r="I175" s="43">
        <f t="shared" si="6"/>
        <v>0.0002745876811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44">
        <v>45231.0</v>
      </c>
      <c r="B176" s="27">
        <v>167.0</v>
      </c>
      <c r="C176" s="28">
        <v>419.85</v>
      </c>
      <c r="D176" s="41">
        <f t="shared" si="1"/>
        <v>-0.3872559817</v>
      </c>
      <c r="E176" s="42">
        <f t="shared" si="2"/>
        <v>420.237256</v>
      </c>
      <c r="F176" s="43">
        <f t="shared" si="3"/>
        <v>0.3872559817</v>
      </c>
      <c r="G176" s="43">
        <f t="shared" si="4"/>
        <v>0.1499671953</v>
      </c>
      <c r="H176" s="43">
        <f t="shared" si="5"/>
        <v>-0.0009223674685</v>
      </c>
      <c r="I176" s="43">
        <f t="shared" si="6"/>
        <v>0.0009223674685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44">
        <v>45261.0</v>
      </c>
      <c r="B177" s="27">
        <v>168.0</v>
      </c>
      <c r="C177" s="28">
        <v>421.63</v>
      </c>
      <c r="D177" s="41">
        <f t="shared" si="1"/>
        <v>0.2447428317</v>
      </c>
      <c r="E177" s="42">
        <f t="shared" si="2"/>
        <v>421.3852572</v>
      </c>
      <c r="F177" s="43">
        <f t="shared" si="3"/>
        <v>0.2447428317</v>
      </c>
      <c r="G177" s="43">
        <f t="shared" si="4"/>
        <v>0.05989905367</v>
      </c>
      <c r="H177" s="43">
        <f t="shared" si="5"/>
        <v>0.0005804682582</v>
      </c>
      <c r="I177" s="43">
        <f t="shared" si="6"/>
        <v>0.0005804682582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45" t="s">
        <v>30</v>
      </c>
      <c r="E178" s="46">
        <f t="shared" si="2"/>
        <v>422.720488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</sheetData>
  <mergeCells count="2">
    <mergeCell ref="D1:E1"/>
    <mergeCell ref="G1:H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2024-11-19T08:50:30Z</dcterms:created>
  <dc:creator>witanti RS Premier Jatinegara</dc:creator>
</cp:coreProperties>
</file>